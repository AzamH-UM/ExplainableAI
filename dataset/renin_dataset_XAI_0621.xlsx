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x-em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matter\XAI_Heatmaps\Datasets\"/>
    </mc:Choice>
  </mc:AlternateContent>
  <xr:revisionPtr revIDLastSave="0" documentId="13_ncr:1_{A740F10E-A94D-4A1D-878F-B134CCE24EF2}" xr6:coauthVersionLast="45" xr6:coauthVersionMax="45" xr10:uidLastSave="{00000000-0000-0000-0000-000000000000}"/>
  <bookViews>
    <workbookView xWindow="31770" yWindow="495" windowWidth="25785" windowHeight="13935" xr2:uid="{14DC49EB-2C96-46C0-91F8-A67C1F958EB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43" i="1" l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Matter, Hans /DE</author>
  </authors>
  <commentList>
    <comment ref="A2" authorId="0" shapeId="0" xr:uid="{F7890FB3-6613-464C-9563-BA502481F525}">
      <text>
        <r>
          <rPr>
            <sz val="9"/>
            <color indexed="81"/>
            <rFont val="Segoe UI"/>
            <charset val="1"/>
          </rPr>
          <t>Insight iXlW00001C0000002R0279761703S00000002P02356LAocjBAQBF1NjaVRlZ2ljLmRhdGEuTW9sZWN1bGUBbQF/ARJTY2lUZWdpYy5Nb2xlY3VsZQAAAQFkAv5qAQAAAAIAAgEhGAAAAPz8APwAAgAAAAAAAPC/AhWuR+F6lA9AApf/kH77OgnAAAAAABgAAAD8/AD8AAIAAAAAAADwvwIWjErqBDQMQALl8h/Sb18SwAAAAAAcAAAA/PwA/AACAAAAAAAA8L8CtFn1udqKAEAC0gDeAgnKE8AAAAAAGAAAAPz8APwAAgAAAAAAAPC/AqOSOgFNhPA/Akw3iUFg5Q7AAAAAABgAAAD8/AD8AAIAAAAAAADwvwKi1jTvOEX3PwIaUdobfGEDwAAAAAAcAAAA/PwA/AACAAAAAAAA8L8Csp3vp8ZLB0ACQDVeukmMAMAAAAAAGAAAAPz8APwAAgAAAAAAAPC/AuqVsgxxrApAAhiV1AloIuS/AAAAACAAAAD8/AD8AAIAAAAAAADwvwIm5IOezSoTQAJeS8gHPZvRvwAAAAAYAAAA/PwA/AACAAAAAAAA8L8CiIVa07xjAkACjSjtDb4w3T8AAAAAGAAAAPz8APwAAgAAAAAAAPC/Al7cRgN4iwRAAmTuWkI+6P4/AAAAABwAAAD8/AD8AAIAAAAAAADwvwKKH2PuWsIOQAJVwaikTsAFQAAAAAAYAAAA/PwA/AACAAAAAAAA8L8C78nDQq1pDkACAd4CCYrfEEAAAAAAGAAAAPz8APwAAgAAAAAAAPC/AicxCKwc2gNAAka28/3UuBNAAAAAABgAAAD8/AD8AAIAAAAAAADwvwKEL0ymCkbzPwI0ETY8vZIQQAAAAAAYAAAA/PwA/AACAAAAAAAA8L8CutqK/WX38z8CuycPC7UmBUAAAAAAHAAAAPz8APwAAgAAAAAAAPC/At6Th4Va08Q/ArIubqMBvPk/AAAAABgAAAD8/AD8AAIAAAAAAADwvwI2XrpJDAL1vwJe3EYDeAv+PwAAAAAYAAAA/PwA/AACAAAAAAAA8L8CE4PAyqFFAsAC/Yf029eB5z8AAAAAGAAAAPz8APwAAgAAAAAAAPC/Amsr9pfdEw7AAjlFR3L5D/A/AAAAABgAAAD8/AD8AAIAAAAAAADwvwKtad5xig4RwAKiRbbz/VQDQAAAAAAYAAAA/PwA/AACAAAAAAAA8L8CK6kT0ERYCsACCmgibHh6DEAAAAAAGAAAAPz8APwAAgAAAAAAAPC/AhWuR+F6FP2/AjQRNjy9UgpAAAAAABgAAAD8/AD8AAIAAAAAAADwvwJ4nKIjufzpPwJJv30dOGfQPwAAAAAgAAAA/PwA/AACAAAAAAAA8L8CidLe4AuTuT8CL26jAbwF8b8AAAAAGAAAAPz8APwAAgAAAAAAAPC/AjEIrBxaZPa/AmUZ4lgXt/G/AAAAABgAAAD8/AD8AAIAAAAAAADwvwI8TtGRXH4BwAIqyxDHurjFPwAAAAAYAAAA/PwA/AACAAAAAAAA8L8CsXJoke18DcACdnEbDeAtwD8AAAAAGAAAAPz8APwAAgAAAAAAAPC/Ap0Rpb3BlxHAAtJvXwfOGfO/AAAAABgAAAD8/AD8AAIAAAAAAADwvwIX2c73U+MMwAIW+8vuycMDwAAAAAAYAAAA/PwA/AACAAAAAAAA8L8CorQ3+MLkAMACe6UsQxxrA8AAAAAAGAAAAPz8APwAAgAAAAAAAPC/Av7UeOkmMfW/AuC+Dpwzog3AAAAAACQAAAD8/AD8AAIAAAAAAADwvwLQRNjw9EoRwAIXak3zjlMOwAAAAAAYAAAA/PwA/AACAAAAAAAA8L8CfIMvTKYK/b8CutqK/WX3+T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IAQAAAAAAAABGgEbCAgAAAAAAAEbARwEAAAAAAAAARwBHQgIAAAAAAABHAEfBAAAAAAAAAEdAR4EAAAAAAAAAAAAAA==</t>
        </r>
      </text>
    </comment>
    <comment ref="A3" authorId="0" shapeId="0" xr:uid="{3BC13DD7-1E2B-4CDF-AC74-F3F938EBB3C7}">
      <text>
        <r>
          <rPr>
            <sz val="9"/>
            <color indexed="81"/>
            <rFont val="Segoe UI"/>
            <charset val="1"/>
          </rPr>
          <t>Insight iXlW00001C0000003R0279761703S00000004P02352LAocjBAQBF1NjaVRlZ2ljLmRhdGEuTW9sZWN1bGUBbQF/ARJTY2lUZWdpYy5Nb2xlY3VsZQAAAQFkAv5qAQAAAAIAAgEhGAAAAPz8APwAAgAAAAAAAPC/AndPHhZqzQpAAp88LNSaZg7AAAAAABgAAAD8/AD8AAIAAAAAAADwvwKoV8oyxDEGQAJa9bnair0UwAAAAAAcAAAA/PwA/AACAAAAAAAA8L8Cg+LHmLuW9D8CMuauJeSDFcAAAAAAGAAAAPz8APwAAgAAAAAAAPC/AhHHuriNBtg/AgAAAAAAwBDAAAAAABgAAAD8/AD8AAIAAAAAAADwvwLi6ZWyDHHuPwKze/KwUGsGwAAAAAAcAAAA/PwA/AACAAAAAAAA8L8C3+ALk6mCA0ACA5oIG57eBMAAAAAAGAAAAPz8APwAAgAAAAAAAPC/Aq7YX3ZPHghAAtzXgXNGlPO/AAAAACAAAAD8/AD8AAIAAAAAAADwvwJuNIC3QAISQAJ7FK5H4XrwvwAAAAAYAAAA/PwA/AACAAAAAAAA8L8CFmpN847TAEACguLHmLuWoL8AAAAAGAAAAPz8APwAAgAAAAAAAPC/Ah3r4jYaQARAAl1txf6ye/Y/AAAAABgAAAD8/AD8AAIAAAAAAADwvwKD4seYuxYPQAJq3nGKjmQAQAAAAAAYAAAA/PwA/AACAAAAAAAA8L8ChC9MpgoGEEAC0bNZ9blaDEAAAAAAGAAAAPz8APwAAgAAAAAAAPC/Aibkg57NKgZAAr4wmSoYlRFAAAAAABgAAAD8/AD8AAIAAAAAAADwvwKA2T15WKj2PwL6D+m3rwMOQAAAAAAYAAAA/PwA/AACAAAAAAAA8L8CduCcEaW99D8CkzoBTYQNAkAAAAAAHAAAAPz8APwAAgAAAAAAAPC/AuJ6FK5H4bo/AvaX3ZOHhfU/AAAAABgAAAD8/AD8AAIAAAAAAADwvwLDZKpgVFL1vwIDmggbnl78PwAAAAAYAAAA/PwA/AACAAAAAAAA8L8C+THmriXk+r8CswxxrIvbCUAAAAAAGAAAAPz8APwAAgAAAAAAAPC/Am7F/rJ78gjAArmNBvAWSA1AAAAAABgAAAD8/AD8AAIAAAAAAADwvwKGWtO849QQwAJGJXUCmggFQAAAAAAYAAAA/PwA/AACAAAAAAAA8L8Ccc6I0t7gDsACm3ecoiO58j8AAAAAGAAAAPz8APwAAgAAAAAAAPC/Av8h/fZ1YAPAAjqSy39Iv+c/AAAAABgAAAD8/AD8AAIAAAAAAADwvwLhC5OpglHjPwKpNc07TtGxvwAAAAAgAAAA/PwA/AACAAAAAAAA8L8CN6s+V1uxz78CHcnlP6Tf9L8AAAAAGAAAAPz8APwAAgAAAAAAAPC/AjWAt0CC4vu/AhTQRNjw9PK/AAAAABgAAAD8/AD8AAIAAAAAAADwvwLW52or9hcDwALD9Shcj8LFPwAAAAAYAAAA/PwA/AACAAAAAAAA8L8CPb1SliEOD8ACB1+YTBWM0j8AAAAAGAAAAPz8APwAAgAAAAAAAPC/AnS1FfvL7hLAAgK8BRIUP+6/AAAAABgAAAD8/AD8AAIAAAAAAADwvwKzDHGsi1sQwAJnZmZmZmYCwAAAAAAYAAAA/PwA/AACAAAAAAAA8L8C/0P67evABMAC6+I2GsBbA8AAAAAAGAAAAPz8APwAAgAAAAAAAPC/Aoc41sVtNP+/AlLaG3xhMg7AAAAAACQAAAD8/AD8AAIAAAAAAADwvwJgB84ZURoSwAKOBvAWSFD6PwAAAAAgAAAA/PwA/AACAAAAAAAA8L8CN6s+V1txFUACqoJRSZ3AEEAAAAAAASUABAQAAAAAAAAAFAQAAAAAAAAECAQAAAAAAAAIDAQAAAAAAAAMEAQAAAAAAAAQFAQAAAAAAAAUGAQAAAAAAAAYHAgAAAAAAAAYIAQAAAAAAAAgJAQAAAAAAAAgARYIDAAAAAAAJCgIDAAAAAAAJDgEAAAAAAAAKCwEAAAAAAAALDAICAAAAAAALAEgBAAAAAAAADA0BAAAAAAAADQ4CAgAAAAAADg8BAAAAAAAADwBEAQAAAAAAAA8ARYEAAAAAAAAARABEQgMAAAAAAABEAEVBAAAAAAAAAERARIEAAAAAAAAARIBEwgIAAAAAAABEwEUBAAAAAAAAAEUARUICAAAAAAAARYBFwQAAAAAAAABFwEYBAAAAAAAAAEYARkIDAAAAAAAARgBHQQAAAAAAAABGQEaBAAAAAAAAAEaARsICAAAAAAAARoBHwQAAAAAAAABGwEcBAAAAAAAAAEcAR0ICAAAAAAAAR0BHgQAAAAAAAAAAAAA</t>
        </r>
      </text>
    </comment>
    <comment ref="A4" authorId="0" shapeId="0" xr:uid="{CAA77220-D14D-4A1B-A871-BBFEA1BAE49C}">
      <text>
        <r>
          <rPr>
            <sz val="9"/>
            <color indexed="81"/>
            <rFont val="Segoe UI"/>
            <charset val="1"/>
          </rPr>
          <t>Insight iXlW00001C0000004R0279761703S00000006P02420LAocjBAQBF1NjaVRlZ2ljLmRhdGEuTW9sZWN1bGUBbQF/ARJTY2lUZWdpYy5Nb2xlY3VsZQAAAQFkAv5qAQAAAAIAAgEiGAAAAPz8APwAAgAAAAAAAPC/AmpN845TdPY/Apt3nKIjuRLAAAAAABgAAAD8/AD8AAIAAAAAAADwvwKNuWsJ+aDTPwJwXwfOGdEWwAAAAAAcAAAA/PwA/AACAAAAAAAA8L8Cz4jS3uAL8r8Cx9y1hHwQFcAAAAAAGAAAAPz8APwAAgAAAAAAAPC/AvmgZ7Pqc/e/Ao/k8h/Sbw7AAAAAABgAAAD8/AD8AAIAAAAAAADwvwLJBz2bVZ/XvwId6+I2GkAGwAAAAAAcAAAA/PwA/AACAAAAAAAA8L8CQDVeukkM8T8CcPCFyVTBCcAAAAAAGAAAAPz8APwAAgAAAAAAAPC/AiNKe4MvTAFAAv32deCckQHAAAAAACAAAAD8/AD8AAIAAAAAAADwvwK8BRIUP8YMQAJR/Bhz1xIFwAAAAAAYAAAA/PwA/AACAAAAAAAA8L8CHHxhMlUw/T8C/Yf029eB578AAAAAGAAAAPz8APwAAgAAAAAAAPC/Akku/yH9dgZAAr5SliGOddk/AAAAABgAAAD8/AD8AAIAAAAAAADwvwLQ1VbsLzsRQAKaCBueXinbPwAAAAAYAAAA/PwA/AACAAAAAAAA8L8CM8SxLm4jFEAC1LzjFB3J+z8AAAAAGAAAAPz8APwAAgAAAAAAAPC/AutztRX7CxFAAszuycNCLQhAAAAAABgAAAD8/AD8AAIAAAAAAADwvwJHlPYGXxgGQALYgXNGlPYHQAAAAAAYAAAA/PwA/AACAAAAAAAA8L8CgLdAguJHAEACdLUV+8vu+j8AAAAAHAAAAPz8APwAAgAAAAAAAPC/AuviNhrAW+I/AkqdgCbChvU/AAAAABgAAAD8/AD8AAIAAAAAAADwvwJwzojS3uDhvwKn6Egu/6ECQAAAAAAYAAAA/PwA/AACAAAAAAAA8L8CjblrCfmg/78CxEKtad5x/T8AAAAAGAAAAPz8APwAAgAAAAAAAPC/Ah3J5T+k3wjAAmU730+NlwZAAAAAABgAAAD8/AD8AAIAAAAAAADwvwJKDAIrh5YGwAJz+Q/pty8RQAAAAAAYAAAA/PwA/AACAAAAAAAA8L8CP8bctYR89r8CFR3J5T8kE0AAAAAAGAAAAPz8APwAAgAAAAAAAPC/Aka28/3UeNG/Au/Jw0KtaQ5AAAAAABgAAAD8/AD8AAIAAAAAAADwvwI4+MJkqmDcPwJX7C+7Jw/DvwAAAAAYAAAA/PwA/AACAAAAAAAA8L8CbsX+snvy6r8COdbFbTSA7b8AAAAAGAAAAPz8APwAAgAAAAAAAPC/ArIubqMBPAHAAn6MuWsJ+ci/AAAAABgAAAD8/AD8AAIAAAAAAADwvwIUP8bctYQLwAJDPujZrPruvwAAAAAYAAAA/PwA/AACAAAAAAAA8L8CGXPXEvIBE8ACpixDHOvizr8AAAAAGAAAAPz8APwAAgAAAAAAAPC/ApOpglFJHRPAAolBYOXQIvQ/AAAAABgAAAD8/AD8AAIAAAAAAADwvwLEQq1p3vELwAJVwaikTkAAQAAAAAAYAAAA/PwA/AACAAAAAAAA8L8CbsX+sntyAcACHcnlP6Tf9D8AAAAAJAAAAPz8APwAAgAAAAAAAPC/Akp7gy9MJhjAAiZTBaOSOvC/AAAAABgAAAD8/AD8AAIAAAAAAADwvwIg0m9fB04LwALnjCjtDb4DwAAAAAAgAAAA/PwA/AACAAAAAAAA8L8C++3rwDkjGkACS+oENBE2/D8AAAAAGAAAAPz8APwAAgAAAAAAAPC/AjQRNjy9UhRAAj29UpYhjuu/AAAAAAEmAAQEAAAAAAAAABQEAAAAAAAABAgEAAAAAAAACAwEAAAAAAAADBAEAAAAAAAAEBQEAAAAAAAAFBgEAAAAAAAAGBwIAAAAAAAAGCAEAAAAAAAAICQEAAAAAAAAIAEWCAwAAAAAACQoCAwAAAAAACQ4BAAAAAAAACgsBAAAAAAAACgBIQQAAAAAAAAsMAgIAAAAAAAsASAEAAAAAAAAMDQEAAAAAAAANDgICAAAAAAAODwEAAAAAAAAPAEQBAAAAAAAADwBFgQAAAAAAAABEAERCAwAAAAAAAEQARUEAAAAAAAAAREBEgQAAAAAAAABEgETCAgAAAAAAAETARQEAAAAAAAAARQBFQgIAAAAAAABFgEXBAAAAAAAAAEXARgEAAAAAAAAARgBGQgMAAAAAAABGAEdBAAAAAAAAAEZARoEAAAAAAAAARkBHwQAAAAAAAABGgEbCAgAAAAAAAEaAR4EAAAAAAAAARsBHAQAAAAAAAABHAEdCAgAAAAAAAAAAAA=</t>
        </r>
      </text>
    </comment>
    <comment ref="A5" authorId="0" shapeId="0" xr:uid="{3D5BA79B-AF96-4F4E-93E3-49E66BFFA7E0}">
      <text>
        <r>
          <rPr>
            <sz val="9"/>
            <color indexed="81"/>
            <rFont val="Segoe UI"/>
            <charset val="1"/>
          </rPr>
          <t>Insight iXlW00001C0000005R0279761703S00000008P02356LAocjBAQBF1NjaVRlZ2ljLmRhdGEuTW9sZWN1bGUBbQF/ARJTY2lUZWdpYy5Nb2xlY3VsZQAAAQFkAv5qAQAAAAIAAgEhGAAAAPz8APwAAgAAAAAAAPC/AhWuR+F6lA9AApf/kH77OgnAAAAAABgAAAD8/AD8AAIAAAAAAADwvwIWjErqBDQMQALl8h/Sb18SwAAAAAAcAAAA/PwA/AACAAAAAAAA8L8CtFn1udqKAEAC0gDeAgnKE8AAAAAAGAAAAPz8APwAAgAAAAAAAPC/AqOSOgFNhPA/Akw3iUFg5Q7AAAAAABgAAAD8/AD8AAIAAAAAAADwvwKi1jTvOEX3PwIaUdobfGEDwAAAAAAcAAAA/PwA/AACAAAAAAAA8L8Csp3vp8ZLB0ACQDVeukmMAMAAAAAAGAAAAPz8APwAAgAAAAAAAPC/AuqVsgxxrApAAhiV1AloIuS/AAAAACAAAAD8/AD8AAIAAAAAAADwvwIm5IOezSoTQAJeS8gHPZvRvwAAAAAYAAAA/PwA/AACAAAAAAAA8L8CiIVa07xjAkACjSjtDb4w3T8AAAAAGAAAAPz8APwAAgAAAAAAAPC/Al7cRgN4iwRAAmTuWkI+6P4/AAAAABgAAAD8/AD8AAIAAAAAAADwvwKKH2PuWsIOQAJVwaikTsAFQAAAAAAYAAAA/PwA/AACAAAAAAAA8L8C78nDQq1pDkACAd4CCYrfEEAAAAAAHAAAAPz8APwAAgAAAAAAAPC/AicxCKwc2gNAAka28/3UuBNAAAAAABgAAAD8/AD8AAIAAAAAAADwvwKEL0ymCkbzPwI0ETY8vZIQQAAAAAAYAAAA/PwA/AACAAAAAAAA8L8CutqK/WX38z8CuycPC7UmBUAAAAAAHAAAAPz8APwAAgAAAAAAAPC/At6Th4Va08Q/ArIubqMBvPk/AAAAABgAAAD8/AD8AAIAAAAAAADwvwI2XrpJDAL1vwJe3EYDeAv+PwAAAAAYAAAA/PwA/AACAAAAAAAA8L8CE4PAyqFFAsAC/Yf029eB5z8AAAAAGAAAAPz8APwAAgAAAAAAAPC/Amsr9pfdEw7AAjlFR3L5D/A/AAAAABgAAAD8/AD8AAIAAAAAAADwvwKtad5xig4RwAKiRbbz/VQDQAAAAAAYAAAA/PwA/AACAAAAAAAA8L8CK6kT0ERYCsACCmgibHh6DEAAAAAAGAAAAPz8APwAAgAAAAAAAPC/AhWuR+F6FP2/AjQRNjy9UgpAAAAAABgAAAD8/AD8AAIAAAAAAADwvwJ4nKIjufzpPwJJv30dOGfQPwAAAAAgAAAA/PwA/AACAAAAAAAA8L8CidLe4AuTuT8CL26jAbwF8b8AAAAAGAAAAPz8APwAAgAAAAAAAPC/AjEIrBxaZPa/AmUZ4lgXt/G/AAAAABgAAAD8/AD8AAIAAAAAAADwvwI8TtGRXH4BwAIqyxDHurjFPwAAAAAYAAAA/PwA/AACAAAAAAAA8L8CsXJoke18DcACdnEbDeAtwD8AAAAAGAAAAPz8APwAAgAAAAAAAPC/Ap0Rpb3BlxHAAtJvXwfOGfO/AAAAABgAAAD8/AD8AAIAAAAAAADwvwIX2c73U+MMwAIW+8vuycMDwAAAAAAYAAAA/PwA/AACAAAAAAAA8L8CorQ3+MLkAMACe6UsQxxrA8AAAAAAGAAAAPz8APwAAgAAAAAAAPC/Av7UeOkmMfW/AuC+Dpwzog3AAAAAACQAAAD8/AD8AAIAAAAAAADwvwLQRNjw9EoRwAIXak3zjlMOwAAAAAAYAAAA/PwA/AACAAAAAAAA8L8CfIMvTKYK/b8CutqK/WX3+T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IAQAAAAAAAABGgEbCAgAAAAAAAEbARwEAAAAAAAAARwBHQgIAAAAAAABHAEfBAAAAAAAAAEdAR4EAAAAAAAAAAAAAA==</t>
        </r>
      </text>
    </comment>
    <comment ref="A6" authorId="0" shapeId="0" xr:uid="{A0238786-8C99-42BC-91D9-3BB59E5426B1}">
      <text>
        <r>
          <rPr>
            <sz val="9"/>
            <color indexed="81"/>
            <rFont val="Segoe UI"/>
            <charset val="1"/>
          </rPr>
          <t>Insight iXlW00001C0000006R0279761703S00000010P02776LAocjBAQBF1NjaVRlZ2ljLmRhdGEuTW9sZWN1bGUBbQF/ARJTY2lUZWdpYy5Nb2xlY3VsZQAAAQFkAv5qAQAAAAIAAgEnGAAAAPz8APwAAgAAAAAAAPC/AsTTK2UZ4hPAAqoT0ETYcAvAAAAAABgAAAD8/AD8AAIAAAAAAADwvwJahjjWxW0ZwAJcj8L1KNwGwAAAAAAcAAAA/PwA/AACAAAAAAAA8L8CD5wzorQ3GsACIbByaJHt9b8AAAAAGAAAAPz8APwAAgAAAAAAAPC/AkvqBDQRdhXAAlHaG3xhMt2/AAAAABgAAAD8/AD8AAIAAAAAAADwvwJqb/CFydQPwAKgq63YX3bwvwAAAAAcAAAA/PwA/AACAAAAAAAA8L8C/0P67etADsAC4zYawFsgBMAAAAAAGAAAAPz8APwAAgAAAAAAAPC/AtPe4AuTKQPAAmmR7Xw/tQjAAAAAACAAAAD8/AD8AAIAAAAAAADwvwJos+pztZUBwAJaZDvfT00SwAAAAAAYAAAA/PwA/AACAAAAAAAA8L8CI0p7gy9M878CorQ3+MJkAcAAAAAAGAAAAPz8APwAAgAAAAAAAPC/AsP1KFyPws0/Al+YTBWMygTAAAAAABgAAAD8/AD8AAIAAAAAAADwvwKh+DHmriXsPwI9LNSa5p0PwAAAAAAYAAAA/PwA/AACAAAAAAAA8L8COdbFbTQAA0AChC9MpgpGEMAAAAAAHAAAAPz8APwAAgAAAAAAAPC/An0/NV66yQlAAoNRSZ2ApgbAAAAAABgAAAD8/AD8AAIAAAAAAADwvwKxUGuad5wEQAJKe4MvTKb3vwAAAAAYAAAA/PwA/AACAAAAAAAA8L8CQfFjzF1L8T8CJ8KGp1fK9b8AAAAAHAAAAPz8APwAAgAAAAAAAPC/AqW9wRcmU8U/AiZ1ApoIG8a/AAAAABgAAAD8/AD8AAIAAAAAAADwvwJd/kP67eviPwI3GsBbIEH0PwAAAAAYAAAA/PwA/AACAAAAAAAA8L8CylTBqKRO3L8Cbef7qfHSAkAAAAAAGAAAAPz8APwAAgAAAAAAAPC/AnKKjuTyH5K/AtsbfGEyVQ5AAAAAABgAAAD8/AD8AAIAAAAAAADwvwJANV66SQz3PwIYJlMFo5IQQAAAAAAYAAAA/PwA/AACAAAAAAAA8L8C0ETY8PTKA0ACF0hQ/BhzCEAAAAAAGAAAAPz8APwAAgAAAAAAAPC/Akw3iUFgZQBAAuJ6FK5H4fk/AAAAABgAAAD8/AD8AAIAAAAAAADwvwJQHhZqTfPzvwLW52or9pflvwAAAAAgAAAA/PwA/AACAAAAAAAA8L8CdEaU9gbfA8AC8fRKWYY4xj8AAAAAGAAAAPz8APwAAgAAAAAAAPC/AqkT0ETY8ALAAr8OnDOitPo/AAAAABgAAAD8/AD8AAIAAAAAAADwvwKX/5B++zrwvwIs9pfdk4cCQAAAAAAYAAAA/PwA/AACAAAAAAAA8L8CBTQRNjy97L8CPE7RkVx+DkAAAAAAGAAAAPz8APwAAgAAAAAAAPC/Ak2EDU+vFAHAAsBbIEHxoxJAAAAAABgAAAD8/AD8AAIAAAAAAADwvwJj7lpCPugLwAJaZDvfTw0QQAAAAAAYAAAA/PwA/AACAAAAAAAA8L8C9UpZhjjWDMACpHA9CtcjBEAAAAAAGAAAAPz8APwAAgAAAAAAAPC/AoZa07zj1BPAArAD54wo7f0/AAAAACQAAAD8/AD8AAIAAAAAAADwvwLjNhrAWyDdPwKEns2qz9URQAAAAAAYAAAA/PwA/AACAAAAAAAA8L8C9rnaiv1lC0AClWWIY13czr8AAAAAGAAAAPz8APwAAgAAAAAAAPC/AgMJih9jrhNAAlkXt9EA3ta/AAAAABgAAAD8/AD8AAIAAAAAAADwvwJpAG+BBEUWQAIDmggbnl77vwAAAAAYAAAA/PwA/AACAAAAAAAA8L8CcayL22hAHEACJlMFo5I6/b8AAAAAGAAAAPz8APwAAgAAAAAAAPC/AhRhw9MrpR9AAh3J5T+k3+K/AAAAABgAAAD8/AD8AAIAAAAAAADwvwKuad5xig4dQAI830+Nl27oPwAAAAAYAAAA/PwA/AACAAAAAAAA8L8Cpb3BFyYTF0ACg1FJnYAm7D8AAAAAASwABAQAAAAAAAAAFAQAAAAAAAAECAQAAAAAAAAIDAQAAAAAAAAMEAQAAAAAAAAQFAQAAAAAAAAUGAQAAAAAAAAYHAgAAAAAAAAYIAQAAAAAAAAgJAQAAAAAAAAgARYIDAAAAAAAJCgIDAAAAAAAJDgEAAAAAAAAKCwEAAAAAAAALDAICAAAAAAAMDQEAAAAAAAANDgICAAAAAAANAEgBAAAAAAAADg8BAAAAAAAADwBEAQAAAAAAAA8ARYEAAAAAAAAARABEQgMAAAAAAABEAEVBAAAAAAAAAERARIEAAAAAAAAARIBEwgIAAAAAAABEwEUBAAAAAAAAAEUARUICAAAAAAAARYBFwQAAAAAAAABFwEYBAAAAAAAAAEYARkIDAAAAAAAARgBHQQAAAAAAAABGQEaBAAAAAAAAAEaARsICAAAAAAAARoBHwQAAAAAAAABGwEcBAAAAAAAAAEcAR0ICAAAAAAAAR0BHgQAAAAAAAABIAEhBAAAAAAAAAEhASIIDAAAAAAAASEBJgQAAAAAAAABIgEjBAAAAAAAAAEjASQICAAAAAAAASQBJQQAAAAAAAABJQEmCAgAAAAAAAAAAAA=</t>
        </r>
      </text>
    </comment>
    <comment ref="A7" authorId="0" shapeId="0" xr:uid="{56D781E1-2B0C-4131-BB61-BBA7A5C2BE9E}">
      <text>
        <r>
          <rPr>
            <sz val="9"/>
            <color indexed="81"/>
            <rFont val="Segoe UI"/>
            <charset val="1"/>
          </rPr>
          <t>Insight iXlW00001C0000007R0279761703S00000012P02352LAocjBAQBF1NjaVRlZ2ljLmRhdGEuTW9sZWN1bGUBbQF/ARJTY2lUZWdpYy5Nb2xlY3VsZQAAAQFkAv5qAQAAAAIAAgEhGAAAAPz8APwAAgAAAAAAAPC/AsUgsHJoERDAAsWPMXctIQnAAAAAABgAAAD8/AD8AAIAAAAAAADwvwLswDkjSnsVwALb+X5qvPQDwAAAAAAcAAAA/PwA/AACAAAAAAAA8L8CwoanV8ryFcACK4cW2c73778AAAAAGAAAAPz8APwAAgAAAAAAAPC/AlXBqKROABHAAs1dS8gHPcO/AAAAABgAAAD8/AD8AAIAAAAAAADwvwJbQj7o2SwHwAI51sVtNIDpvwAAAAAcAAAA/PwA/AACAAAAAAAA8L8Cr7Zif9k9BsACn82qz9VWAsAAAAAAGAAAAPz8APwAAgAAAAAAAPC/AsDsnjws1Pa/AoljXdxGgwfAAAAAACAAAAD8/AD8AAIAAAAAAADwvwJn1edqK/b0vwKwcmiR7bwRwAAAAAAYAAAA/PwA/AACAAAAAAAA8L8CUrgehetRyL8CYqHWNO+4AMAAAAAAGAAAAPz8APwAAgAAAAAAAPC/Amsr9pfdk/M/AiPb+X5qvATAAAAAABwAAAD8/AD8AAIAAAAAAADwvwI7kst/SL/8PwLek4eFWtMPwAAAAAAYAAAA/PwA/AACAAAAAAAA8L8CaQBvgQRFCkACMzMzMzOzEMAAAAAAGAAAAPz8APwAAgAAAAAAAPC/AkOtad5xyhBAAjWAt0CC4gfAAAAAABgAAAD8/AD8AAIAAAAAAADwvwIep+hILv8MQAL0jlN0JJf5vwAAAAAYAAAA/PwA/AACAAAAAAAA8L8CmpmZmZkZAUAC4umVsgxx9r8AAAAAHAAAAPz8APwAAgAAAAAAAPC/Alhbsb/snvQ/AmKh1jTvOMW/AAAAABgAAAD8/AD8AAIAAAAAAADwvwLZzvdT46X8PwJJLv8h/fbzPwAAAAAYAAAA/PwA/AACAAAAAAAA8L8Cofgx5q4l6j8CIv32deAcA0AAAAAAGAAAAPz8APwAAgAAAAAAAPC/AmHD0ytlGfU/Al3+Q/rtaw5AAAAAABgAAAD8/AD8AAIAAAAAAADwvwK2hHzQs1kGQALpt68D50wQQAAAAAAYAAAA/PwA/AACAAAAAAAA8L8C++3rwDkjDkAC1QloImx4B0AAAAAAGAAAAPz8APwAAgAAAAAAAPC/Ajq0yHa+HwpAAjQRNjy9Uvg/AAAAABgAAAD8/AD8AAIAAAAAAADwvwKaCBueXinDvwLUmuYdp+jivwAAAAAgAAAA/PwA/AACAAAAAAAA8L8Cdy0hH/Rs9b8CPZtVn6ut1D8AAAAAGAAAAPz8APwAAgAAAAAAAPC/AmaIY13cRvK/AmfV52or9vw/AAAAABgAAAD8/AD8AAIAAAAAAADwvwKegCbChqcCwALQRNjw9MoFQAAAAAAYAAAA/PwA/AACAAAAAAAA8L8CFa5H4XoUAcACDr4wmSrYEEAAAAAAGAAAAPz8APwAAgAAAAAAAPC/AoV80LNZ9ee/AsIXJlMFIxNAAAAAABgAAAD8/AD8AAIAAAAAAADwvwKHONbFbTTcPwJn1edqK/YOQAAAAAAYAAAA/PwA/AACAAAAAAAA8L8CgEi/fR04zz8CG55eKcsQA0AAAAAAGAAAAPz8APwAAgAAAAAAAPC/AvJBz2bV5/k/AgdfmEwVjPw/AAAAABgAAAD8/AD8AAIAAAAAAADwvwJYObTIdr4NwAJpke18PzUBQAAAAAAgAAAA/PwA/AACAAAAAAAA8L8C6Ugu/yG9FkACvlKWIY51CcAAAAAAASU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0BHgQAAAAAAAAAAAAA</t>
        </r>
      </text>
    </comment>
    <comment ref="A8" authorId="0" shapeId="0" xr:uid="{0A7EDE76-7385-4EB7-B3A0-6C4745B3BE3F}">
      <text>
        <r>
          <rPr>
            <sz val="9"/>
            <color indexed="81"/>
            <rFont val="Segoe UI"/>
            <charset val="1"/>
          </rPr>
          <t>Insight iXlW00001C0000008R0279761703S00000014P02420LAocjBAQBF1NjaVRlZ2ljLmRhdGEuTW9sZWN1bGUBbQF/ARJTY2lUZWdpYy5Nb2xlY3VsZQAAAQFkAv5qAQAAAAIAAgEiGAAAAPz8APwAAgAAAAAAAPC/AjhnRGlv8AHAAj0s1JrmnRLAAAAAABgAAAD8/AD8AAIAAAAAAADwvwIkKH6MuesNwAL9GHPXEvISwAAAAAAcAAAA/PwA/AACAAAAAAAA8L8CduCcEaU9EsAC8tJNYhDYC8AAAAAAGAAAAPz8APwAAgAAAAAAAPC/AsiYu5aQDw/AAjPEsS5uIwHAAAAAABgAAAD8/AD8AAIAAAAAAADwvwLc14FzRhQDwAJ7FK5H4XoAwAAAAAAcAAAA/PwA/AACAAAAAAAA8L8CKH6MuWsJ+b8Cu0kMAiuHCsAAAAAAGAAAAPz8APwAAgAAAAAAAPC/AvT91HjpJrG/AgOaCBue3gnAAAAAACAAAAD8/AD8AAIAAAAAAADwvwJhw9MrZRnoPwKFfNCzWfURwAAAAAAYAAAA/PwA/AACAAAAAAAA8L8C0gDeAgmK4z8CiBbZzvdT/r8AAAAAGAAAAPz8APwAAgAAAAAAAPC/AgisHFpkuwBAAsE5I0p7g/q/AAAAABgAAAD8/AD8AAIAAAAAAADwvwIzVTAqqRMKQAKb5h2n6MgEwAAAAAAYAAAA/PwA/AACAAAAAAAA8L8CGJXUCWiiEkACFNBE2PB0AMAAAAAAGAAAAPz8APwAAgAAAAAAAPC/Ah8Wak3zjhNAAmdmZmZmZuK/AAAAABwAAAD8/AD8AAIAAAAAAADwvwITg8DKocUNQALLMsSxLm7XPwAAAAAYAAAA/PwA/AACAAAAAAAA8L8CFa5H4XqUAkACZ2ZmZmZmxr8AAAAAHAAAAPz8APwAAgAAAAAAAPC/Ald9rrZif+8/AvcGX5hMFeA/AAAAABgAAAD8/AD8AAIAAAAAAADwvwLKw0Ktad7nPwKUh4Va07z/PwAAAAAYAAAA/PwA/AACAAAAAAAA8L8CB/AWSFD85L8C3UYDeAskBEAAAAAAGAAAAPz8APwAAgAAAAAAAPC/ApOpglFJney/AulILv8h/Q9AAAAAABgAAAD8/AD8AAIAAAAAAADwvwJiodY07zjRPwLVeOkmMcgTQAAAAAAYAAAA/PwA/AACAAAAAAAA8L8CQYLix5i7+j8CMEymCkalEUAAAAAAGAAAAPz8APwAAgAAAAAAAPC/AgdfmEwVjP4/Aoxs5/upcQdAAAAAABgAAAD8/AD8AAIAAAAAAADwvwJZF7fRAN6yvwIawFsgQfHhvwAAAAAgAAAA/PwA/AACAAAAAAAA8L8C24r9Zffk+L8C0m9fB84Z1b8AAAAAGAAAAPz8APwAAgAAAAAAAPC/AvXb14FzxgDAAgjOGVHaG/E/AAAAABgAAAD8/AD8AAIAAAAAAADwvwJvEoPAyqEMwAKvJeSDns30PwAAAAAYAAAA/PwA/AACAAAAAAAA8L8Cl/+Qfvt6EMAC1udqK/aXBUAAAAAAGAAAAPz8APwAAgAAAAAAAPC/AnS1FfvLbgnAAgCRfvs68A5AAAAAABgAAAD8/AD8AAIAAAAAAADwvwKDUUmdgCb7vwIsZRniWBcNQAAAAAAYAAAA/PwA/AACAAAAAAAA8L8CdSSX/5B+8r8CLpCg+DHmAUAAAAAAGAAAAPz8APwAAgAAAAAAAPC/AjPEsS5uo9U/AigPC7Wm+QJAAAAAABgAAAD8/AD8AAIAAAAAAADwvwIxmSoYlRQSwALUmuYdp+jAPwAAAAAgAAAA/PwA/AACAAAAAAAA8L8CnoAmwoYnGUACejarPldbob8AAAAAGAAAAPz8APwAAgAAAAAAAPC/AjNVMCqp0x1AAlLaG3xhMu+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AAAAA</t>
        </r>
      </text>
    </comment>
    <comment ref="A9" authorId="0" shapeId="0" xr:uid="{72FCE6F0-3212-4DDF-B126-C3C01935D99A}">
      <text>
        <r>
          <rPr>
            <sz val="9"/>
            <color indexed="81"/>
            <rFont val="Segoe UI"/>
            <charset val="1"/>
          </rPr>
          <t>Insight iXlW00001C0000009R0279761703S00000016P02352LAocjBAQBF1NjaVRlZ2ljLmRhdGEuTW9sZWN1bGUBbQF/ARJTY2lUZWdpYy5Nb2xlY3VsZQAAAQFkAv5qAQAAAAIAAgEhGAAAAPz8APwAAgAAAAAAAPC/AuY/pN++DvM/AjnWxW00QBPAAAAAABgAAAD8/AD8AAIAAAAAAADwvwLb+X5qvHSTPwKRD3o2q/4WwAAAAAAcAAAA/PwA/AACAAAAAAAA8L8C7S+7Jw8L9r8CrmnecYrOFMAAAAAAGAAAAPz8APwAAgAAAAAAAPC/AsIXJlMFo/m/Aqw+V1uxvw3AAAAAABgAAAD8/AD8AAIAAAAAAADwvwIOT6+UZYjbvwL7y+7Jw0IGwAAAAAAcAAAA/PwA/AACAAAAAAAA8L8CIbByaJHt7j8CwhcmUwWjCsAAAAAAGAAAAPz8APwAAgAAAAAAAPC/AgjOGVHaGwFAAtnO91PjJQPAAAAAACAAAAD8/AD8AAIAAAAAAADwvwLyY8xdS0gMQALZ8PRKWYYHwAAAAAAYAAAA/PwA/AACAAAAAAAA8L8COrTIdr6f/j8CikFg5dAi7b8AAAAAGAAAAPz8APwAAgAAAAAAAPC/AtGzWfW52gdAAuj7qfHSTcI/AAAAABgAAAD8/AD8AAIAAAAAAADwvwIK+aBns+oRQAI+eVioNc2rPwAAAAAYAAAA/PwA/AACAAAAAAAA8L8CZF3cRgM4FUAC1JrmHafo9D8AAAAAGAAAAPz8APwAAgAAAAAAAPC/Ap2iI7n8hxJAApCg+DHmLgVAAAAAABgAAAD8/AD8AAIAAAAAAADwvwL3Bl+YTBUJQAIxCKwcWuQFQAAAAAAYAAAA/PwA/AACAAAAAAAA8L8CQz7o2ax6AkACyeU/pN++9z8AAAAAHAAAAPz8APwAAgAAAAAAAPC/Ak2mCkYldeo/AvT91HjpJvQ/AAAAABgAAAD8/AD8AAIAAAAAAADwvwJUBaOSOgHNvwKu2F92T54CQAAAAAAYAAAA/PwA/AACAAAAAAAA8L8Cfq62Yn/Z+r8CWMoyxLEu/z8AAAAAGAAAAPz8APwAAgAAAAAAAPC/AicxCKwc2gXAAuC+DpwzIghAAAAAABgAAAD8/AD8AAIAAAAAAADwvwJeukkMAqsCwAInMQisHNoRQAAAAAAYAAAA/PwA/AACAAAAAAAA8L8C001iEFg57L8C6Gor9pddE0AAAAAAGAAAAPz8APwAAgAAAAAAAPC/AjhnRGlv8MU/AuSlm8QgMA5AAAAAABgAAAD8/AD8AAIAAAAAAADwvwIcDeAtkKDiPwJL6gQ0ETbMvwAAAAAYAAAA/PwA/AACAAAAAAAA8L8CfT81XrpJ6L8CzBDHuriN7L8AAAAAGAAAAPz8APwAAgAAAAAAAPC/AixlGeJYFwDAAuM2GsBbILG/AAAAABgAAAD8/AD8AAIAAAAAAADwvwJSuB6F69EKwAIVHcnlP6TnvwAAAAAYAAAA/PwA/AACAAAAAAAA8L8C0GbV52prEsAC4C2QoPgxtj8AAAAAGAAAAPz8APwAAgAAAAAAAPC/Av+ye/KwEBLAAmN/2T15WPk/AAAAABgAAAD8/AD8AAIAAAAAAADwvwLYEvJBz2YJwAJANV66SQwCQAAAAAAYAAAA/PwA/AACAAAAAAAA8L8CpU5AE2HD/r8CF9nO91Pj9j8AAAAAJAAAAPz8APwAAgAAAAAAAPC/AmMQWDm0yBfAAn3Qs1n1ueK/AAAAABgAAAD8/AD8AAIAAAAAAADwvwLzH9JvX4cLwAJPr5RliOMBwAAAAAAgAAAA/PwA/AACAAAAAAAA8L8ChXzQs1k1G0ACIR/0bFZ98z8AAAAAASUABAQAAAAAAAAAFAQAAAAAAAAECAQAAAAAAAAIDAQAAAAAAAAMEAQAAAAAAAAQFAQAAAAAAAAUGAQAAAAAAAAYHAgAAAAAAAAYIAQAAAAAAAAgJAQAAAAAAAAgARYIDAAAAAAAJCgIDAAAAAAAJDgEAAAAAAAAKCwEAAAAAAAALDAICAAAAAAALAEgBAAAAAAAADA0BAAAAAAAADQ4CAgAAAAAADg8BAAAAAAAADwBEAQAAAAAAAA8ARYEAAAAAAAAARABEQgMAAAAAAABEAEVBAAAAAAAAAERARIEAAAAAAAAARIBEwgIAAAAAAABEwEUBAAAAAAAAAEUARUICAAAAAAAARYBFwQAAAAAAAABFwEYBAAAAAAAAAEYARkIDAAAAAAAARgBHQQAAAAAAAABGQEaBAAAAAAAAAEZAR8EAAAAAAAAARoBGwgIAAAAAAABGgEeBAAAAAAAAAEbARwEAAAAAAAAARwBHQgIAAAAAAAAAAAA</t>
        </r>
      </text>
    </comment>
    <comment ref="A10" authorId="0" shapeId="0" xr:uid="{EED4F90A-8A85-453D-B27A-ACFABDFB0097}">
      <text>
        <r>
          <rPr>
            <sz val="9"/>
            <color indexed="81"/>
            <rFont val="Segoe UI"/>
            <charset val="1"/>
          </rPr>
          <t>Insight iXlW00001C0000010R0279761703S00000018P02352LAocjBAQBF1NjaVRlZ2ljLmRhdGEuTW9sZWN1bGUBbQF/ARJTY2lUZWdpYy5Nb2xlY3VsZQAAAQFkAv5qAQAAAAIAAgEhGAAAAPz8APwAAgAAAAAAAPC/Ai2yne+nxuO/An/7OnDOCBTAAAAAABgAAAD8/AD8AAIAAAAAAADwvwIxCKwcWmQAwAIT8kHPZtUVwAAAAAAcAAAA/PwA/AACAAAAAAAA8L8CCawcWmQ7CcACLbKd76fGEcAAAAAAGAAAAPz8APwAAgAAAAAAAPC/AnKKjuTynwbAAp/Nqs/V1gfAAAAAABgAAAD8/AD8AAIAAAAAAADwvwKY3ZOHhVr2vwJ24JwRpT0EwAAAAAAcAAAA/PwA/AACAAAAAAAA8L8CqFfKMsSx0r8CQmDl0CJbDMAAAAAAGAAAAPz8APwAAgAAAAAAAPC/AmKh1jTvOPI/Ahlz1xLywQjAAAAAACAAAAD8/AD8AAIAAAAAAADwvwKI9NvXgfMBQAJz+Q/pt28QwAAAAAAYAAAA/PwA/AACAAAAAAAA8L8CAJF++zpw9z8CSgwCK4cW+r8AAAAAGAAAAPz8APwAAgAAAAAAAPC/Au58PzVeugZAAmFUUiegifC/AAAAABgAAAD8/AD8AAIAAAAAAADwvwLDZKpgVNIQQALf4AuTqYL6vwAAAAAYAAAA/PwA/AACAAAAAAAA8L8CvlKWIY61FUAC5x2n6Egu6b8AAAAAGAAAAPz8APwAAgAAAAAAAPC/AoiFWtO8IxVAAgtGJXUCmuY/AAAAABgAAAD8/AD8AAIAAAAAAADwvwJ3vp8aL10PQAITg8DKoUX1PwAAAAAYAAAA/PwA/AACAAAAAAAA8L8Cg+LHmLuWBUACYHZPHhZq3T8AAAAAHAAAAPz8APwAAgAAAAAAAPC/Ah3r4jYawPM/AopBYOXQIuk/AAAAABgAAAD8/AD8AAIAAAAAAADwvwJnZmZmZmbkPwIJG55eKUsBQAAAAAAYAAAA/PwA/AACAAAAAAAA8L8CDJOpglFJ678C097gC5OpAkAAAAAAGAAAAPz8APwAAgAAAAAAAPC/Am+BBMWPMfe/AkETYcPTqw1AAAAAABgAAAD8/AD8AAIAAAAAAADwvwI+eVioNc3hvwLyQc9m1acTQAAAAAAYAAAA/PwA/AACAAAAAAAA8L8CNYC3QILi7T8CDeAtkKD4EkAAAAAAGAAAAPz8APwAAgAAAAAAAPC/AgR4CyQofvg/Aq2L22gA7wpAAAAAABgAAAD8/AD8AAIAAAAAAADwvwKl374OnDPePwLChqdXyjLgvwAAAAAYAAAA/PwA/AACAAAAAAAA8L8CEHo2qz5X8L8CUkmdgCbC5L8AAAAAGAAAAPz8APwAAgAAAAAAAPC/AoofY+5aQv6/AmN/2T15WOI/AAAAABgAAAD8/AD8AAIAAAAAAADwvwL6fmq8dBMLwAKneccpOpLbPwAAAAAYAAAA/PwA/AACAAAAAAAA8L8C3GgAb4EEEcACxEKtad5x+j8AAAAAGAAAAPz8APwAAgAAAAAAAPC/ArHh6ZWyDA3AAvvt68A5IwhAAAAAABgAAAD8/AD8AAIAAAAAAADwvwK0yHa+nxoBwAJmiGNd3EYJQAAAAAAYAAAA/PwA/AACAAAAAAAA8L8CfT81XrpJ9L8C41gXt9EA/z8AAAAAJAAAAPz8APwAAgAAAAAAAPC/AnbgnBGl/RbAAu0NvjCZKvg/AAAAABgAAAD8/AD8AAIAAAAAAADwvwKAt0CC4gcQwAKsHFpkO9/tvwAAAAAgAAAA/PwA/AACAAAAAAAA8L8CgnNGlPYGGkAC8fRKWYY4+T8AAAAAASU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ZAR8EAAAAAAAAARoBGwgIAAAAAAABGgEeBAAAAAAAAAEbARwEAAAAAAAAARwBHQgIAAAAAAAAAAAA</t>
        </r>
      </text>
    </comment>
    <comment ref="A11" authorId="0" shapeId="0" xr:uid="{C6D11FE6-D0D9-41FB-830F-7754224F11F1}">
      <text>
        <r>
          <rPr>
            <sz val="9"/>
            <color indexed="81"/>
            <rFont val="Segoe UI"/>
            <charset val="1"/>
          </rPr>
          <t>Insight iXlW00001C0000011R0279761703S00000020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w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Bg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EAAAAAAAAARABFQQAAAAAAAABEQESBAAAAAAAAAESARMEAAAAAAAAARMBFAQAAAAAAAABFAEVBAAAAAAAAAEWARcEAAAAAAAAARcBGAQAAAAAAAABGAEZCAwAAAAAAAEYAR0EAAAAAAAAARkBGgQAAAAAAAABGQEfBAAAAAAAAAEaARsICAAAAAAAARsBHAQAAAAAAAABHAEdCAgAAAAAAAEdAR4EAAAAAAAAAAAAAA==</t>
        </r>
      </text>
    </comment>
    <comment ref="A12" authorId="0" shapeId="0" xr:uid="{C285399C-37CB-4D84-979B-E787CDEF3429}">
      <text>
        <r>
          <rPr>
            <sz val="9"/>
            <color indexed="81"/>
            <rFont val="Segoe UI"/>
            <charset val="1"/>
          </rPr>
          <t>Insight iXlW00001C0000012R0279761703S00000022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gAAAD8/AD8AAIAAAAAAADwvwIkKH6MuesCQAISNjy9UpYPQAAAAAAY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GAAAAPz8APwAAgAAAAAAAPC/Aq2L22gAb9U/Agg9m1WfKxDAAAAAACQAAAD8/AD8AAIAAAAAAADwvwJ5eqUsQ5wSwAL+ZffkYaHmvw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13" authorId="0" shapeId="0" xr:uid="{D7112A08-841D-4FB7-9AE6-02DC0DC5C18D}">
      <text>
        <r>
          <rPr>
            <sz val="9"/>
            <color indexed="81"/>
            <rFont val="Segoe UI"/>
            <charset val="1"/>
          </rPr>
          <t>Insight iXlW00001C0000013R0279761703S00000024P02420LAocjBAQBF1NjaVRlZ2ljLmRhdGEuTW9sZWN1bGUBbQF/ARJTY2lUZWdpYy5Nb2xlY3VsZQAAAQFkAv5qAQAAAAIAAgEiGAAAAPz8APwAAgAAAAAAAPC/AuzAOSNKe/O/AoEmwoan1xPAAAAAABgAAAD8/AD8AAIAAAAAAADwvwKV1AloImwFwAKCBMWPMTcVwAAAAAAcAAAA/PwA/AACAAAAAAAA8L8CFR3J5T+kDcAC8tJNYhDYEMAAAAAAGAAAAPz8APwAAgAAAAAAAPC/Aq5H4XoULgrAAsKGp1fKMgbAAAAAABgAAAD8/AD8AAIAAAAAAADwvwIep+hILv/8vwKI9NvXgXMDwAAAAAAcAAAA/PwA/AACAAAAAAAA8L8CPSzUmuYd6b8CqFfKMsQxDMAAAAAAGAAAAPz8APwAAgAAAAAAAPC/AkCk374OnOU/AqabxCCwcgnAAAAAACAAAAD8/AD8AAIAAAAAAADwvwIgY+5aQj77PwJjf9k9eRgRwAAAAAAYAAAA/PwA/AACAAAAAAAA8L8CXynLEMe68T8CCvmgZ7Pq+78AAAAAGAAAAPz8APwAAgAAAAAAAPC/AqhXyjLEMQRAAhi30QDeAvS/AAAAABgAAAD8/AD8AAIAAAAAAADwvwL1bFZ9rrYOQAIBb4EExY//vwAAAAAcAAAA/PwA/AACAAAAAAAA8L8CeJyiI7l8FEACPSzUmuYd878AAAAAGAAAAPz8APwAAgAAAAAAAPC/AuviNhrAWxRAAv2H9NvXgdM/AAAAABgAAAD8/AD8AAIAAAAAAADwvwKKsOHplTIOQALo2az6XG3wPwAAAAAYAAAA/PwA/AACAAAAAAAA8L8Cj+TyH9LvA0ACrBxaZDvfzz8AAAAAHAAAAPz8APwAAgAAAAAAAPC/AtuK/WX35PA/AsfctYR80OU/AAAAABgAAAD8/AD8AAIAAAAAAADwvwLSkVz+Q/rhPwJjEFg5tMgAQAAAAAAYAAAA/PwA/AACAAAAAAAA8L8CYjJVMCqp+D8CrBxaZDvfCUAAAAAAGAAAAPz8APwAAgAAAAAAAPC/AnDwhclUwfA/Au9aQj7omRJAAAAAABgAAAD8/AD8AAIAAAAAAADwvwLu68A5I0rbvwJiodY077gTQAAAAAAYAAAA/PwA/AACAAAAAAAA8L8CdSSX/5B+9r8CejarPldbDkAAAAAAGAAAAPz8APwAAgAAAAAAAPC/AgXFjzF3Le2/AkqdgCbCBgNAAAAAABgAAAD8/AD8AAIAAAAAAADwvwJEi2zn+6nJPwIEVg4tsp3hvwAAAAAYAAAA/PwA/AACAAAAAAAA8L8CRWlv8IXJ9L8CaCJseHql4r8AAAAAGAAAAPz8APwAAgAAAAAAAPC/Asx/SL99nQDAAoUNT6+UZeY/AAAAABgAAAD8/AD8AAIAAAAAAADwvwKuR+F6FK71vwJ1ApoIGx4AQAAAAAAYAAAA/PwA/AACAAAAAAAA8L8COUVHcvkPAcACqaROQBNhCkAAAAAAGAAAAPz8APwAAgAAAAAAAPC/AlfsL7snDw3AAlhbsb/sHgpAAAAAABgAAAD8/AD8AAIAAAAAAADwvwIm5IOezWoRwAKHONbFbTT/PwAAAAAYAAAA/PwA/AACAAAAAAAA8L8CIv32deCcDMACP+jZrPpc5T8AAAAAGAAAAPz8APwAAgAAAAAAAPC/Aots5/upMRHAAhIUP8bcteS/AAAAACQAAAD8/AD8AAIAAAAAAADwvwLRItv5fmoXwALkpZvEILD+PwAAAAAgAAAA/PwA/AACAAAAAAAA8L8C6Ugu/yF9GUACw2SqYFRS8T8AAAAAGAAAAPz8APwAAgAAAAAAAPC/Ao9TdCSXvx5AAmiz6nO1Fdc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SABIQQAAAAAAAAAAAAA</t>
        </r>
      </text>
    </comment>
    <comment ref="A14" authorId="0" shapeId="0" xr:uid="{D7E99F32-5A61-434F-B282-4ED5575C37DB}">
      <text>
        <r>
          <rPr>
            <sz val="9"/>
            <color indexed="81"/>
            <rFont val="Segoe UI"/>
            <charset val="1"/>
          </rPr>
          <t>Insight iXlW00001C0000014R0279761703S00000026P02352LAocjBAQBF1NjaVRlZ2ljLmRhdGEuTW9sZWN1bGUBbQF/ARJTY2lUZWdpYy5Nb2xlY3VsZQAAAQFkAv5qAQAAAAIAAgEhGAAAAPz8APwAAgAAAAAAAPC/AuY/pN++DvM/AjnWxW00QBPAAAAAABgAAAD8/AD8AAIAAAAAAADwvwLb+X5qvHSTPwKRD3o2q/4WwAAAAAAcAAAA/PwA/AACAAAAAAAA8L8C7S+7Jw8L9r8CrmnecYrOFMAAAAAAGAAAAPz8APwAAgAAAAAAAPC/AsIXJlMFo/m/Aqw+V1uxvw3AAAAAABgAAAD8/AD8AAIAAAAAAADwvwIOT6+UZYjbvwL7y+7Jw0IGwAAAAAAcAAAA/PwA/AACAAAAAAAA8L8CIbByaJHt7j8CwhcmUwWjCsAAAAAAGAAAAPz8APwAAgAAAAAAAPC/AgjOGVHaGwFAAtnO91PjJQPAAAAAACAAAAD8/AD8AAIAAAAAAADwvwLyY8xdS0gMQALZ8PRKWYYHwAAAAAAYAAAA/PwA/AACAAAAAAAA8L8COrTIdr6f/j8CikFg5dAi7b8AAAAAGAAAAPz8APwAAgAAAAAAAPC/AtGzWfW52gdAAuj7qfHSTcI/AAAAABgAAAD8/AD8AAIAAAAAAADwvwIK+aBns+oRQAI+eVioNc2rPwAAAAAYAAAA/PwA/AACAAAAAAAA8L8CZF3cRgM4FUAC1JrmHafo9D8AAAAAGAAAAPz8APwAAgAAAAAAAPC/Ap2iI7n8hxJAApCg+DHmLgVAAAAAABwAAAD8/AD8AAIAAAAAAADwvwL3Bl+YTBUJQAIxCKwcWuQFQAAAAAAYAAAA/PwA/AACAAAAAAAA8L8CQz7o2ax6AkACyeU/pN++9z8AAAAAHAAAAPz8APwAAgAAAAAAAPC/Ak2mCkYldeo/AvT91HjpJvQ/AAAAABgAAAD8/AD8AAIAAAAAAADwvwJUBaOSOgHNvwKu2F92T54CQAAAAAAYAAAA/PwA/AACAAAAAAAA8L8COGdEaW/wxT8C5KWbxCAwDkAAAAAAGAAAAPz8APwAAgAAAAAAAPC/AtNNYhBYOey/AuhqK/aXXRNAAAAAABgAAAD8/AD8AAIAAAAAAADwvwJeukkMAqsCwAInMQisHNoRQAAAAAAYAAAA/PwA/AACAAAAAAAA8L8CJzEIrBzaBcAC4L4OnDMiCEAAAAAAGAAAAPz8APwAAgAAAAAAAPC/An6utmJ/2fq/AljKMsSxLv8/AAAAABgAAAD8/AD8AAIAAAAAAADwvwIcDeAtkKDiPwJL6gQ0ETbMvwAAAAAYAAAA/PwA/AACAAAAAAAA8L8CfT81XrpJ6L8CzBDHuriN7L8AAAAAGAAAAPz8APwAAgAAAAAAAPC/AixlGeJYFwDAAuM2GsBbILG/AAAAABgAAAD8/AD8AAIAAAAAAADwvwKlTkATYcP+vwIX2c73U+P2PwAAAAAYAAAA/PwA/AACAAAAAAAA8L8C2BLyQc9mCcACQDVeukkMAkAAAAAAGAAAAPz8APwAAgAAAAAAAPC/Av+ye/KwEBLAAmN/2T15WPk/AAAAABgAAAD8/AD8AAIAAAAAAADwvwLQZtXnamsSwALgLZCg+DG2PwAAAAAYAAAA/PwA/AACAAAAAAAA8L8CUrgehevRCsACFR3J5T+k578AAAAAGAAAAPz8APwAAgAAAAAAAPC/AvMf0m9fhwvAAk+vlGWI4wHAAAAAACQAAAD8/AD8AAIAAAAAAADwvwJjEFg5tMgXwAJ90LNZ9bnivwAAAAAgAAAA/PwA/AACAAAAAAAA8L8ChXzQs1k1G0ACIR/0bFZ98z8AAAAAASUABAQAAAAAAAAAFAQAAAAAAAAECAQAAAAAAAAIDAQAAAAAAAAMEAQAAAAAAAAQFAQAAAAAAAAUGAQAAAAAAAAYHAgAAAAAAAAYIAQAAAAAAAAgJAQAAAAAAAAgARYIDAAAAAAAJCgIDAAAAAAAJDgEAAAAAAAAKCwEAAAAAAAALDAICAAAAAAALAEgBAAAAAAAADA0BAAAAAAAADQ4CAgAAAAAADg8BAAAAAAAADwBEAQAAAAAAAA8ARYEAAAAAAAAARABEQgMAAAAAAABEAEVBAAAAAAAAAERARIEAAAAAAAAARIBEwgIAAAAAAABEwEUBAAAAAAAAAEUARUICAAAAAAAARYBFwQAAAAAAAABFwEYBAAAAAAAAAEYARkIDAAAAAAAARgBHQQAAAAAAAABGQEaBAAAAAAAAAEaARsICAAAAAAAARsBHAQAAAAAAAABHAEdCAgAAAAAAAEcAR8EAAAAAAAAAR0BHgQAAAAAAAAAAAAA</t>
        </r>
      </text>
    </comment>
    <comment ref="A15" authorId="0" shapeId="0" xr:uid="{BA73C376-45AE-4F65-9156-A6B340EE1504}">
      <text>
        <r>
          <rPr>
            <sz val="9"/>
            <color indexed="81"/>
            <rFont val="Segoe UI"/>
            <charset val="1"/>
          </rPr>
          <t>Insight iXlW00001C0000015R0279761703S00000028P02352LAocjBAQBF1NjaVRlZ2ljLmRhdGEuTW9sZWN1bGUBbQF/ARJTY2lUZWdpYy5Nb2xlY3VsZQAAAQFkAv5qAQAAAAIAAgEhGAAAAPz8APwAAgAAAAAAAPC/AndPHhZqzQpAAp88LNSaZg7AAAAAABgAAAD8/AD8AAIAAAAAAADwvwKoV8oyxDEGQAJa9bnair0UwAAAAAAcAAAA/PwA/AACAAAAAAAA8L8Cg+LHmLuW9D8CMuauJeSDFcAAAAAAGAAAAPz8APwAAgAAAAAAAPC/AhHHuriNBtg/AgAAAAAAwBDAAAAAABgAAAD8/AD8AAIAAAAAAADwvwLi6ZWyDHHuPwKze/KwUGsGwAAAAAAcAAAA/PwA/AACAAAAAAAA8L8C3+ALk6mCA0ACA5oIG57eBMAAAAAAGAAAAPz8APwAAgAAAAAAAPC/Aq7YX3ZPHghAAtzXgXNGlPO/AAAAACAAAAD8/AD8AAIAAAAAAADwvwJuNIC3QAISQAJ7FK5H4XrwvwAAAAAYAAAA/PwA/AACAAAAAAAA8L8CFmpN847TAEACguLHmLuWoL8AAAAAGAAAAPz8APwAAgAAAAAAAPC/Ah3r4jYaQARAAl1txf6ye/Y/AAAAABgAAAD8/AD8AAIAAAAAAADwvwKD4seYuxYPQAJq3nGKjmQAQAAAAAAYAAAA/PwA/AACAAAAAAAA8L8ChC9MpgoGEEAC0bNZ9blaDEAAAAAAGAAAAPz8APwAAgAAAAAAAPC/Aibkg57NKgZAAr4wmSoYlRFAAAAAABwAAAD8/AD8AAIAAAAAAADwvwKA2T15WKj2PwL6D+m3rwMOQAAAAAAYAAAA/PwA/AACAAAAAAAA8L8CduCcEaW99D8CkzoBTYQNAkAAAAAAHAAAAPz8APwAAgAAAAAAAPC/AuJ6FK5H4bo/AvaX3ZOHhfU/AAAAABgAAAD8/AD8AAIAAAAAAADwvwLDZKpgVFL1vwIDmggbnl78PwAAAAAYAAAA/PwA/AACAAAAAAAA8L8C/yH99nVgA8ACOpLLf0i/5z8AAAAAGAAAAPz8APwAAgAAAAAAAPC/AnHOiNLe4A7AApt3nKIjufI/AAAAABgAAAD8/AD8AAIAAAAAAADwvwKGWtO849QQwAJGJXUCmggFQAAAAAAYAAAA/PwA/AACAAAAAAAA8L8CbsX+snvyCMACuY0G8BZIDUAAAAAAGAAAAPz8APwAAgAAAAAAAPC/Avkx5q4l5Pq/ArMMcayL2wlAAAAAABgAAAD8/AD8AAIAAAAAAADwvwLhC5OpglHjPwKpNc07TtGxvwAAAAAgAAAA/PwA/AACAAAAAAAA8L8CN6s+V1uxz78CHcnlP6Tf9L8AAAAAGAAAAPz8APwAAgAAAAAAAPC/AjWAt0CC4vu/AhTQRNjw9PK/AAAAABgAAAD8/AD8AAIAAAAAAADwvwL/Q/rt68AEwALr4jYawFsDwAAAAAAYAAAA/PwA/AACAAAAAAAA8L8CswxxrItbEMACZ2ZmZmZmAsAAAAAAGAAAAPz8APwAAgAAAAAAAPC/AnS1FfvL7hLAAgK8BRIUP+6/AAAAABgAAAD8/AD8AAIAAAAAAADwvwI9vVKWIQ4PwAIHX5hMFYzSPwAAAAAYAAAA/PwA/AACAAAAAAAA8L8C1udqK/YXA8ACw/UoXI/CxT8AAAAAJAAAAPz8APwAAgAAAAAAAPC/AmAHzhlRGhLAAo4G8BZIUPo/AAAAABgAAAD8/AD8AAIAAAAAAADwvwKHONbFbTT/vwJS2ht8YTIOwAAAAAAgAAAA/PwA/AACAAAAAAAA8L8CN6s+V1txFUACqoJRSZ3AEEAAAAAAASUABAQAAAAAAAAAFAQAAAAAAAAECAQAAAAAAAAIDAQAAAAAAAAMEAQAAAAAAAAQFAQAAAAAAAAUGAQAAAAAAAAYHAgAAAAAAAAYIAQAAAAAAAAgJAQAAAAAAAAgARYIDAAAAAAAJCgIDAAAAAAAJDgEAAAAAAAAKCwEAAAAAAAALDAICAAAAAAALAEgBAAAAAAAADA0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wBHgQAAAAAAAAAAAAA</t>
        </r>
      </text>
    </comment>
    <comment ref="A16" authorId="0" shapeId="0" xr:uid="{0E1C386A-8B05-4F65-A222-392A11AD953C}">
      <text>
        <r>
          <rPr>
            <sz val="9"/>
            <color indexed="81"/>
            <rFont val="Segoe UI"/>
            <charset val="1"/>
          </rPr>
          <t>Insight iXlW00001C0000016R0279761703S00000030P02488LAocjBAQBF1NjaVRlZ2ljLmRhdGEuTW9sZWN1bGUBbQF/ARJTY2lUZWdpYy5Nb2xlY3VsZQAAAQFkAv5qAQAAAAIAAgEjGAAAAPz8APwAAgAAAAAAAPC/Ai//If32deY/AnGsi9toABTAAAAAABgAAAD8/AD8AAIAAAAAAADwvwIg0m9fB87dvwIUP8bctcQXwAAAAAAcAAAA/PwA/AACAAAAAAAA8L8C16NwPQrX/b8CejarPlebFcAAAAAAGAAAAPz8APwAAgAAAAAAAPC/AoQvTKYKxgDAArMMcayLWw/AAAAAABgAAAD8/AD8AAIAAAAAAADwvwLQ1VbsL7vtvwKlvcEXJtMHwAAAAAAcAAAA/PwA/AACAAAAAAAA8L8CnRGlvcEX3j8Cofgx5q4lDMAAAAAAGAAAAPz8APwAAgAAAAAAAPC/Aoc41sVtNPo/ApOpglFJnQTAAAAAACAAAAD8/AD8AAIAAAAAAADwvwLrc7UV+0sIQAKP5PIf0u8IwAAAAAAYAAAA/PwA/AACAAAAAAAA8L8CV32utmJ/9j8Co5I6AU2E8b8AAAAAGAAAAPz8APwAAgAAAAAAAPC/AlXBqKROwANAAn/7OnDOiKK/AAAAABgAAAD8/AD8AAIAAAAAAADwvwJ6WKg1zbsPQAI2PL1SliG+vwAAAAAYAAAA/PwA/AACAAAAAAAA8L8C24r9ZfckE0ACD5wzorQ38j8AAAAAGAAAAPz8APwAAgAAAAAAAPC/AgMJih9jbhBAAh1aZDvfzwNAAAAAABgAAAD8/AD8AAIAAAAAAADwvwLiehSuR+EEQAIRWDm0yHYEQAAAAAAYAAAA/PwA/AACAAAAAAAA8L8C2c73U+Ol/D8C3pOHhVrT9D8AAAAAHAAAAPz8APwAAgAAAAAAAPC/Ah3r4jYawNM/Aq7YX3ZPHvE/AAAAABgAAAD8/AD8AAIAAAAAAADwvwIAAAAAAADovwIBb4EExQ8BQAAAAAAYAAAA/PwA/AACAAAAAAAA8L8CnDOitDf41r8CaCJseHqlDEAAAAAAGAAAAPz8APwAAgAAAAAAAPC/Aj2bVZ+rrfa/AonS3uALkxJAAAAAABgAAAD8/AD8AAIAAAAAAADwvwKP5PIf0u8GwAIqOpLLfwgRQAAAAAAYAAAA/PwA/AACAAAAAAAA8L8CG55eKcsQCsAC7MA5I0p7BkAAAAAAGAAAAPz8APwAAgAAAAAAAPC/ArhAguLHmAHAAoV80LNZ9fs/AAAAABgAAAD8/AD8AAIAAAAAAADwvwKDUUmdgCayPwKsrdhfdk/avwAAAAAgAAAA/PwA/AACAAAAAAAA8L8CotY07zhF9L8CyzLEsS5u8b8AAAAAGAAAAPz8APwAAgAAAAAAAPC/AnP5D+m3LwTAAkjhehSuR9G/AAAAABgAAAD8/AD8AAIAAAAAAADwvwJ/+zpwzogDwAL3deCcEaXzPwAAAAAYAAAA/PwA/AACAAAAAAAA8L8CoYmw4emVDcACcM6I0t5gAEAAAAAAGAAAAPz8APwAAgAAAAAAAPC/Ar+fGi/dJBTAAoGVQ4ts5/U/AAAAABgAAAD8/AD8AAIAAAAAAADwvwK5HoXrUXgUwAI/xty1hHzAvwAAAAAYAAAA/PwA/AACAAAAAAAA8L8CiIVa07zjDsACY3/ZPXlY7r8AAAAAGAAAAPz8APwAAgAAAAAAAPC/AnyDL0ymig/AAv32deCckQPAAAAAACQAAAD8/AD8AAIAAAAAAADwvwKti9toAO8MwAKVZYhjXVwMQAAAAAAYAAAA/PwA/AACAAAAAAAA8L8CbVZ9rrYiGUACmUwVjErq8D8AAAAAHAAAAPz8APwAAgAAAAAAAPC/AkXY8PRK2RtAAkku/yH99tG/AAAAACAAAAD8/AD8AAIAAAAAAADwvwIooImw4WkcQAI1XrpJDIICQAAAAAABJwAEBAAAAAAAAAAUBAAAAAAAAAQIBAAAAAAAAAgMBAAAAAAAAAwQBAAAAAAAABAUBAAAAAAAABQYBAAAAAAAABgcCAAAAAAAABggBAAAAAAAACAkBAAAAAAAACABFggMAAAAAAAkKAgMAAAAAAAkOAQAAAAAAAAoLAQAAAAAAAAsMAgIAAAAAAAsASAEAAAAAAAAMDQEAAAAAAAANDgICAAAAAAAODwEAAAAAAAAPAEQBAAAAAAAADwBFgQAAAAAAAABEAERCAwAAAAAAAEQARUEAAAAAAAAAREBEgQAAAAAAAABEgETCAgAAAAAAAETARQEAAAAAAAAARQBFQgIAAAAAAABFgEXBAAAAAAAAAEXARgEAAAAAAAAARgBGQgMAAAAAAABGAEdBAAAAAAAAAEZARoEAAAAAAAAARoBGwgIAAAAAAABGgEfBAAAAAAAAAEbARwEAAAAAAAAARwBHQgIAAAAAAABHQEeBAAAAAAAAAEgASEEAAAAAAAAASABIggAAAAAAAAAAAAA</t>
        </r>
      </text>
    </comment>
    <comment ref="A17" authorId="0" shapeId="0" xr:uid="{BA07675B-ACD9-4DE1-8360-54A06D086B4C}">
      <text>
        <r>
          <rPr>
            <sz val="9"/>
            <color indexed="81"/>
            <rFont val="Segoe UI"/>
            <charset val="1"/>
          </rPr>
          <t>Insight iXlW00001C0000017R0279761703S00000032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c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Y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18" authorId="0" shapeId="0" xr:uid="{733E7EC6-E419-4E01-B827-F68E7FDF3968}">
      <text>
        <r>
          <rPr>
            <sz val="9"/>
            <color indexed="81"/>
            <rFont val="Segoe UI"/>
            <charset val="1"/>
          </rPr>
          <t>Insight iXlW00001C0000018R0279761703S00000034P02352LAocjBAQBF1NjaVRlZ2ljLmRhdGEuTW9sZWN1bGUBbQF/ARJTY2lUZWdpYy5Nb2xlY3VsZQAAAQFkAv5qAQAAAAIAAgEhGAAAAPz8APwAAgAAAAAAAPC/Ai2yne+nxuO/An/7OnDOCBTAAAAAABgAAAD8/AD8AAIAAAAAAADwvwIxCKwcWmQAwAIT8kHPZtUVwAAAAAAcAAAA/PwA/AACAAAAAAAA8L8CCawcWmQ7CcACLbKd76fGEcAAAAAAGAAAAPz8APwAAgAAAAAAAPC/AnKKjuTynwbAAp/Nqs/V1gfAAAAAABgAAAD8/AD8AAIAAAAAAADwvwKY3ZOHhVr2vwJ24JwRpT0EwAAAAAAcAAAA/PwA/AACAAAAAAAA8L8CqFfKMsSx0r8CQmDl0CJbDMAAAAAAGAAAAPz8APwAAgAAAAAAAPC/AmKh1jTvOPI/Ahlz1xLywQjAAAAAACAAAAD8/AD8AAIAAAAAAADwvwKI9NvXgfMBQAJz+Q/pt28QwAAAAAAYAAAA/PwA/AACAAAAAAAA8L8CAJF++zpw9z8CSgwCK4cW+r8AAAAAGAAAAPz8APwAAgAAAAAAAPC/Au58PzVeugZAAmFUUiegifC/AAAAABwAAAD8/AD8AAIAAAAAAADwvwLDZKpgVNIQQALf4AuTqYL6vwAAAAAYAAAA/PwA/AACAAAAAAAA8L8CvlKWIY61FUAC5x2n6Egu6b8AAAAAGAAAAPz8APwAAgAAAAAAAPC/AoiFWtO8IxVAAgtGJXUCmuY/AAAAABgAAAD8/AD8AAIAAAAAAADwvwJ3vp8aL10PQAITg8DKoUX1PwAAAAAYAAAA/PwA/AACAAAAAAAA8L8Cg+LHmLuWBUACYHZPHhZq3T8AAAAAHAAAAPz8APwAAgAAAAAAAPC/Ah3r4jYawPM/AopBYOXQIuk/AAAAABgAAAD8/AD8AAIAAAAAAADwvwJnZmZmZmbkPwIJG55eKUsBQAAAAAAYAAAA/PwA/AACAAAAAAAA8L8CDJOpglFJ678C097gC5OpAkAAAAAAGAAAAPz8APwAAgAAAAAAAPC/Am+BBMWPMfe/AkETYcPTqw1AAAAAABgAAAD8/AD8AAIAAAAAAADwvwI+eVioNc3hvwLyQc9m1acTQAAAAAAYAAAA/PwA/AACAAAAAAAA8L8CNYC3QILi7T8CDeAtkKD4EkAAAAAAGAAAAPz8APwAAgAAAAAAAPC/AgR4CyQofvg/Aq2L22gA7wpAAAAAABgAAAD8/AD8AAIAAAAAAADwvwKl374OnDPePwLChqdXyjLgvwAAAAAYAAAA/PwA/AACAAAAAAAA8L8CEHo2qz5X8L8CUkmdgCbC5L8AAAAAGAAAAPz8APwAAgAAAAAAAPC/AoofY+5aQv6/AmN/2T15WOI/AAAAABgAAAD8/AD8AAIAAAAAAADwvwJ9PzVeukn0vwLjWBe30QD/PwAAAAAYAAAA/PwA/AACAAAAAAAA8L8CtMh2vp8aAcACZohjXdxGCUAAAAAAGAAAAPz8APwAAgAAAAAAAPC/ArHh6ZWyDA3AAvvt68A5IwhAAAAAABgAAAD8/AD8AAIAAAAAAADwvwLcaABvgQQRwALEQq1p3nH6PwAAAAAYAAAA/PwA/AACAAAAAAAA8L8C+n5qvHQTC8ACp3nHKTqS2z8AAAAAGAAAAPz8APwAAgAAAAAAAPC/AoC3QILiBxDAAqwcWmQ73+2/AAAAACQAAAD8/AD8AAIAAAAAAADwvwJ24JwRpf0WwALtDb4wmSr4PwAAAAAYAAAA/PwA/AACAAAAAAAA8L8CgnNGlPYGGkAC8fRKWYY4+T8AAAAAASU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aARsICAAAAAAAARsBHAQAAAAAAAABHAEdCAgAAAAAAAEcAR8EAAAAAAAAAR0BHgQAAAAAAAAAAAAA</t>
        </r>
      </text>
    </comment>
    <comment ref="A19" authorId="0" shapeId="0" xr:uid="{CFB0465C-E186-4EDA-9CB2-8A562E32FA94}">
      <text>
        <r>
          <rPr>
            <sz val="9"/>
            <color indexed="81"/>
            <rFont val="Segoe UI"/>
            <charset val="1"/>
          </rPr>
          <t>Insight iXlW00001C0000019R0279761703S00000036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Ad4CCYqfAcAC16NwPQrX8T8AAAAAGAAAAPz8APwAAgAAAAAAAPC/AgR4CyQo/gzAAsE5I0p7g/k/AAAAABgAAAD8/AD8AAIAAAAAAADwvwIJih9j7loPwAIvbqMBvIUIQAAAAAAYAAAA/PwA/AACAAAAAAAA8L8C1CtlGeJYBsACKA8LtaY5EEAAAAAAGAAAAPz8APwAAgAAAAAAAPC/AqMjufyH9PW/AlvTvOMUnQxAAAAAABgAAAD8/AD8AAIAAAAAAADwvwIuIR/0bFbpPwJd/kP67evIPwAAAAAYAAAA/PwA/AACAAAAAAAA8L8C95fdk4eFur8C3UYDeAsk8L8AAAAAGAAAAPz8APwAAgAAAAAAAPC/AubQItv5fvm/Apt3nKIjueq/AAAAABgAAAD8/AD8AAIAAAAAAADwvwJFR3L5D+kDwAI7AU2EDU8AwAAAAAAYAAAA/PwA/AACAAAAAAAA8L8C+cJkqmDUD8AC16NwPQrX/b8AAAAAGAAAAPz8APwAAgAAAAAAAPC/Au0vuycPSxLAAkT67evAOd+/AAAAABgAAAD8/AD8AAIAAAAAAADwvwIHgZVDi2wNwAIukKD4MebmPwAAAAAYAAAA/PwA/AACAAAAAAAA8L8CUwWjkjqBAcAC8tJNYhBY4T8AAAAAJAAAAPz8APwAAgAAAAAAAPC/AubQItv5fhPAAkA1XrpJjAjAAAAAABgAAAD8/AD8AAIAAAAAAADwvwLKVMGopE7+vwLek4eFWlML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oBHgQAAAAAAAABGwEcBAAAAAAAAAEcAR0ICAAAAAAAAAAAAA==</t>
        </r>
      </text>
    </comment>
    <comment ref="A20" authorId="0" shapeId="0" xr:uid="{D1BE7FE5-3817-4346-80C3-0683D8948A57}">
      <text>
        <r>
          <rPr>
            <sz val="9"/>
            <color indexed="81"/>
            <rFont val="Segoe UI"/>
            <charset val="1"/>
          </rPr>
          <t>Insight iXlW00001C0000020R0279761703S00000038P02420LAocjBAQBF1NjaVRlZ2ljLmRhdGEuTW9sZWN1bGUBbQF/ARJTY2lUZWdpYy5Nb2xlY3VsZQAAAQFkAv5qAQAAAAIAAgEiGAAAAPz8APwAAgAAAAAAAPC/Aoxs5/up8Q7AAm3n+6nxUgrAAAAAABgAAAD8/AD8AAIAAAAAAADwvwJHA3gLJOgUwAIFNBE2PD0FwAAAAAAcAAAA/PwA/AACAAAAAAAA8L8CeekmMQhsFcACVHQkl/+Q8r8AAAAAGAAAAPz8APwAAgAAAAAAAPC/AsZtNIC3gBDAAndPHhZqTdO/AAAAABgAAAD8/AD8AAIAAAAAAADwvwKKQWDl0CIGwAI8TtGRXP7tvwAAAAAcAAAA/PwA/AACAAAAAAAA8L8CJnUCmggbBcACMnctIR90A8AAAAAAGAAAAPz8APwAAgAAAAAAAPC/Aka28/3UePS/AtIA3gIJigjAAAAAACAAAAD8/AD8AAIAAAAAAADwvwJ+HThnRGnyvwI6kst/SD8SwAAAAAAYAAAA/PwA/AACAAAAAAAA8L8CNe84RUdyqb8Cl5APejarAcAAAAAAGAAAAPz8APwAAgAAAAAAAPC/AqYsQxzr4vU/Aru4jQbwlgXAAAAAABgAAAD8/AD8AAIAAAAAAADwvwJcsb/snjz/PwKLjuTyH1IQwAAAAAAcAAAA/PwA/AACAAAAAAAA8L8CgnNGlPaGC0ACc9cS8kEPEcAAAAAAGAAAAPz8APwAAgAAAAAAAPC/Av5l9+RhYRFAAl7cRgN4iwjAAAAAABgAAAD8/AD8AAIAAAAAAADwvwLZX3ZPHhYOQAIH8BZIUPz6vwAAAAAYAAAA/PwA/AACAAAAAAAA8L8CBcWPMXctAkACZMxdS8gH+L8AAAAAHAAAAPz8APwAAgAAAAAAAPC/ApOpglFJnfY/AmB2Tx4WatG/AAAAABgAAAD8/AD8AAIAAAAAAADwvwLc+X5qvHT+PwL4wmSqYFTyPwAAAAAYAAAA/PwA/AACAAAAAAAA8L8CZF3cRgN47T8C0NVW7C87AkAAAAAAGAAAAPz8APwAAgAAAAAAAPC/Avp+arx0k/Y/AuBPjZdukg1AAAAAABgAAAD8/AD8AAIAAAAAAADwvwJuowG8BRIHQALUK2UZ4tgPQAAAAAAYAAAA/PwA/AACAAAAAAAA8L8CPN9PjZfuDkACgbdAguLHBkAAAAAAGAAAAPz8APwAAgAAAAAAAPC/At/gC5OpAgtAAnHOiNLe4PY/AAAAABgAAAD8/AD8AAIAAAAAAADwvwKu2F92Tx6WvwIf9GxWfa7mvwAAAAAgAAAA/PwA/AACAAAAAAAA8L8CdSSX/5B+878CGLfRAN4CyT8AAAAAGAAAAPz8APwAAgAAAAAAAPC/AkOtad5xivC/Aoxs5/up8fo/AAAAABgAAAD8/AD8AAIAAAAAAADwvwIqqRPQRNgBwAK/DpwzorQEQAAAAAAYAAAA/PwA/AACAAAAAAAA8L8CWRe30QBeAMACylTBqKROEEAAAAAAGAAAAPz8APwAAgAAAAAAAPC/AvvL7snDQuW/Avd14JwRpRJAAAAAABgAAAD8/AD8AAIAAAAAAADwvwIofoy5awnhPwI9vVKWIQ4OQAAAAAAYAAAA/PwA/AACAAAAAAAA8L8Cxm00gLdA1j8CaCJseHolAkAAAAAAJAAAAPz8APwAAgAAAAAAAPC/AskHPZtVn/4/Asx/SL99XRFAAAAAABgAAAD8/AD8AAIAAAAAAADwvwKFDU+vlOUMwAKdoiO5/AcAQAAAAAAgAAAA/PwA/AACAAAAAAAA8L8CaLPqc7VVF0ACL26jAbwFCsAAAAAAGAAAAPz8APwAAgAAAAAAAPC/AvhT46WbBBHAAmiz6nO1FfM/AAAAAAEmAAQEAAAAAAAAABQEAAAAAAAABAgEAAAAAAAACAwEAAAAAAAADBAEAAAAAAAADAEhBAAAAAAAABAUBAAAAAAAABQYBAAAAAAAABgcCAAAAAAAABggBAAAAAAAACAkBAAAAAAAACABFggMAAAAAAAkKAgMAAAAAAAkOAQAAAAAAAAoLAQAAAAAAAAsMAQAAAAAAAAwNAQAAAAAAAAwASAIAAAAAAAANDgICAAAAAAAODwEAAAAAAAAPAEQBAAAAAAAADwBFgQAAAAAAAABEAERBAAAAAAAAAEQARUEAAAAAAAAAREBEgQAAAAAAAABEgETBAAAAAAAAAETARQEAAAAAAAAARQBFQQAAAAAAAABFgEXBAAAAAAAAAEXARgEAAAAAAAAARgBGQgMAAAAAAABGAEdBAAAAAAAAAEZARoEAAAAAAAAARkBHwQAAAAAAAABGgEbCAgAAAAAAAEbARwEAAAAAAAAARwBHQgIAAAAAAABHAEeBAAAAAAAAAAAAAA=</t>
        </r>
      </text>
    </comment>
    <comment ref="A21" authorId="0" shapeId="0" xr:uid="{16918905-8D1F-4D6D-AA45-37FD8BA8DC0B}">
      <text>
        <r>
          <rPr>
            <sz val="9"/>
            <color indexed="81"/>
            <rFont val="Segoe UI"/>
            <charset val="1"/>
          </rPr>
          <t>Insight iXlW00001C0000021R0279761703S00000040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Ad4CCYqfAcAC16NwPQrX8T8AAAAAGAAAAPz8APwAAgAAAAAAAPC/AgR4CyQo/gzAAsE5I0p7g/k/AAAAABgAAAD8/AD8AAIAAAAAAADwvwIJih9j7loPwAIvbqMBvIUIQAAAAAAYAAAA/PwA/AACAAAAAAAA8L8C1CtlGeJYBsACKA8LtaY5EEAAAAAAGAAAAPz8APwAAgAAAAAAAPC/AqMjufyH9PW/AlvTvOMUnQxAAAAAABgAAAD8/AD8AAIAAAAAAADwvwIuIR/0bFbpPwJd/kP67evIPwAAAAAgAAAA/PwA/AACAAAAAAAA8L8C95fdk4eFur8C3UYDeAsk8L8AAAAAGAAAAPz8APwAAgAAAAAAAPC/AubQItv5fvm/Apt3nKIjueq/AAAAABgAAAD8/AD8AAIAAAAAAADwvwJFR3L5D+kDwAI7AU2EDU8AwAAAAAAYAAAA/PwA/AACAAAAAAAA8L8C+cJkqmDUD8AC16NwPQrX/b8AAAAAGAAAAPz8APwAAgAAAAAAAPC/Au0vuycPSxLAAkT67evAOd+/AAAAABgAAAD8/AD8AAIAAAAAAADwvwIHgZVDi2wNwAIukKD4MebmPwAAAAAYAAAA/PwA/AACAAAAAAAA8L8CUwWjkjqBAcAC8tJNYhBY4T8AAAAAJAAAAPz8APwAAgAAAAAAAPC/AubQItv5fhPAAkA1XrpJjAjAAAAAABgAAAD8/AD8AAIAAAAAAADwvwLKVMGopE7+vwLek4eFWlML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oBHgQAAAAAAAABGwEcBAAAAAAAAAEcAR0ICAAAAAAAAAAAAA==</t>
        </r>
      </text>
    </comment>
    <comment ref="A22" authorId="0" shapeId="0" xr:uid="{15841A45-3711-4BAC-8F14-E10CE6A3ADE3}">
      <text>
        <r>
          <rPr>
            <sz val="9"/>
            <color indexed="81"/>
            <rFont val="Segoe UI"/>
            <charset val="1"/>
          </rPr>
          <t>Insight iXlW00001C0000022R0279761703S00000042P02420LAocjBAQBF1NjaVRlZ2ljLmRhdGEuTW9sZWN1bGUBbQF/ARJTY2lUZWdpYy5Nb2xlY3VsZQAAAQFkAv5qAQAAAAIAAgEiGAAAAPz8APwAAgAAAAAAAPC/AuzAOSNKe/O/AoEmwoan1xPAAAAAABgAAAD8/AD8AAIAAAAAAADwvwKV1AloImwFwAKCBMWPMTcVwAAAAAAcAAAA/PwA/AACAAAAAAAA8L8CFR3J5T+kDcAC8tJNYhDYEMAAAAAAGAAAAPz8APwAAgAAAAAAAPC/Aq5H4XoULgrAAsKGp1fKMgbAAAAAABgAAAD8/AD8AAIAAAAAAADwvwIep+hILv/8vwKI9NvXgXMDwAAAAAAcAAAA/PwA/AACAAAAAAAA8L8CPSzUmuYd6b8CqFfKMsQxDMAAAAAAGAAAAPz8APwAAgAAAAAAAPC/AkCk374OnOU/AqabxCCwcgnAAAAAACAAAAD8/AD8AAIAAAAAAADwvwIgY+5aQj77PwJjf9k9eRgRwAAAAAAYAAAA/PwA/AACAAAAAAAA8L8CXynLEMe68T8CCvmgZ7Pq+78AAAAAGAAAAPz8APwAAgAAAAAAAPC/AqhXyjLEMQRAAhi30QDeAvS/AAAAABgAAAD8/AD8AAIAAAAAAADwvwL1bFZ9rrYOQAIBb4EExY//vwAAAAAYAAAA/PwA/AACAAAAAAAA8L8CeJyiI7l8FEACPSzUmuYd878AAAAAGAAAAPz8APwAAgAAAAAAAPC/AuviNhrAWxRAAv2H9NvXgdM/AAAAABgAAAD8/AD8AAIAAAAAAADwvwKKsOHplTIOQALo2az6XG3wPwAAAAAYAAAA/PwA/AACAAAAAAAA8L8Cj+TyH9LvA0ACrBxaZDvfzz8AAAAAHAAAAPz8APwAAgAAAAAAAPC/AtuK/WX35PA/AsfctYR80OU/AAAAABgAAAD8/AD8AAIAAAAAAADwvwLSkVz+Q/rhPwJjEFg5tMgAQAAAAAAYAAAA/PwA/AACAAAAAAAA8L8CBcWPMXct7b8CSp2AJsIGA0AAAAAAGAAAAPz8APwAAgAAAAAAAPC/AnUkl/+Qfva/Ano2qz5XWw5AAAAAABgAAAD8/AD8AAIAAAAAAADwvwLu68A5I0rbvwJiodY077gTQAAAAAAYAAAA/PwA/AACAAAAAAAA8L8CcPCFyVTB8D8C71pCPuiZEkAAAAAAGAAAAPz8APwAAgAAAAAAAPC/AmIyVTAqqfg/AqwcWmQ73wlAAAAAABgAAAD8/AD8AAIAAAAAAADwvwJEi2zn+6nJPwIEVg4tsp3hvwAAAAAYAAAA/PwA/AACAAAAAAAA8L8CRWlv8IXJ9L8CaCJseHql4r8AAAAAGAAAAPz8APwAAgAAAAAAAPC/Asx/SL99nQDAAoUNT6+UZeY/AAAAABgAAAD8/AD8AAIAAAAAAADwvwIi/fZ14JwMwAI/6Nms+lzlPwAAAAAYAAAA/PwA/AACAAAAAAAA8L8CJuSDns1qEcAChzjWxW00/z8AAAAAGAAAAPz8APwAAgAAAAAAAPC/AlfsL7snDw3AAlhbsb/sHgpAAAAAABgAAAD8/AD8AAIAAAAAAADwvwI5RUdy+Q8BwAKppE5AE2EKQAAAAAAYAAAA/PwA/AACAAAAAAAA8L8CrkfhehSu9b8CdQKaCBseAEAAAAAAJAAAAPz8APwAAgAAAAAAAPC/AtEi2/l+ahfAAuSlm8QgsP4/AAAAABgAAAD8/AD8AAIAAAAAAADwvwKLbOf7qTERwAISFD/G3LXkvwAAAAAgAAAA/PwA/AACAAAAAAAA8L8C6Ugu/yF9GUACw2SqYFRS8T8AAAAAGAAAAPz8APwAAgAAAAAAAPC/Ao9TdCSXvx5AAmiz6nO1Fdc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QEfBAAAAAAAAAEaARsICAAAAAAAARoBHgQAAAAAAAABGwEcBAAAAAAAAAEcAR0ICAAAAAAAASABIQQAAAAAAAAAAAAA</t>
        </r>
      </text>
    </comment>
    <comment ref="A23" authorId="0" shapeId="0" xr:uid="{A82D4B00-FF9F-4B94-8F04-3C2858B1FFBD}">
      <text>
        <r>
          <rPr>
            <sz val="9"/>
            <color indexed="81"/>
            <rFont val="Segoe UI"/>
            <charset val="1"/>
          </rPr>
          <t>Insight iXlW00001C0000023R0279761703S00000044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w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Y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24" authorId="0" shapeId="0" xr:uid="{4DC3B9E9-4A0F-4041-85CE-367AD8B908E9}">
      <text>
        <r>
          <rPr>
            <sz val="9"/>
            <color indexed="81"/>
            <rFont val="Segoe UI"/>
            <charset val="1"/>
          </rPr>
          <t>Insight iXlW00001C0000024R0279761703S00000046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w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Bg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25" authorId="0" shapeId="0" xr:uid="{5092398C-6F69-49AA-9997-FD7B13ECFC2D}">
      <text>
        <r>
          <rPr>
            <sz val="9"/>
            <color indexed="81"/>
            <rFont val="Segoe UI"/>
            <charset val="1"/>
          </rPr>
          <t>Insight iXlW00001C0000025R0279761703S00000048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H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Y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26" authorId="0" shapeId="0" xr:uid="{5918548A-C4F0-4D81-8B6C-4E02EC2B32B7}">
      <text>
        <r>
          <rPr>
            <sz val="9"/>
            <color indexed="81"/>
            <rFont val="Segoe UI"/>
            <charset val="1"/>
          </rPr>
          <t>Insight iXlW00001C0000026R0279761703S00000050P02352LAocjBAQBF1NjaVRlZ2ljLmRhdGEuTW9sZWN1bGUBbQF/ARJTY2lUZWdpYy5Nb2xlY3VsZQAAAQFkAv5qAQAAAAIAAgEhGAAAAPz8APwAAgAAAAAAAPC/AiFB8WPMnRTAAvmgZ7Pqc6U/AAAAABgAAAD8/AD8AAIAAAAAAADwvwIDCYofYy4XwAIhQfFjzF32PwAAAAAcAAAA/PwA/AACAAAAAAAA8L8Ch6dXyjLEE8AC6bevA+cMBUAAAAAAGAAAAPz8APwAAgAAAAAAAPC/AhgmUwWjkgvAAv32deCcEQRAAAAAABgAAAD8/AD8AAIAAAAAAADwvwJTliGOdXEGwALi6ZWyDHHyPwAAAAAcAAAA/PwA/AACAAAAAAAA8L8CS1mGONZFDcACAk2EDU+vtL8AAAAAGAAAAPz8APwAAgAAAAAAAPC/AobJVMGoJAjAAulILv8h/fa/AAAAACAAAAD8/AD8AAIAAAAAAADwvwJ/jLlrCfkOwALNO07RkVwFwAAAAAAYAAAA/PwA/AACAAAAAAAA8L8CIUHxY8xd+L8CwcqhRbbz+L8AAAAAGAAAAPz8APwAAgAAAAAAAPC/ArYV+8vuyee/AiZTBaOSugbAAAAAABwAAAD8/AD8AAIAAAAAAADwvwK2FfvL7snyvwLNO07RkRwRwAAAAAAYAAAA/PwA/AACAAAAAAAA8L8CsVBrmnecwr8C0pFc/kN6FcAAAAAAGAAAAPz8APwAAgAAAAAAAPC/AvMf0m9fB/U/ApxVn6utGBTAAAAAABgAAAD8/AD8AAIAAAAAAADwvwLOqs/VVuz7PwLDhqdXyrIMwAAAAAAYAAAA/PwA/AACAAAAAAAA8L8CXf5D+u3r5j8CutqK/WX3A8AAAAAAHAAAAPz8APwAAgAAAAAAAPC/Ag0CK4cW2eo/AoljXdxGA/C/AAAAABgAAAD8/AD8AAIAAAAAAADwvwIRWDm0yPYAQAIXak3zjlPMvwAAAAAYAAAA/PwA/AACAAAAAAAA8L8CjSjtDb6wAEAC+aBns+pz9D8AAAAAGAAAAPz8APwAAgAAAAAAAPC/AlOWIY518QpAAmfV52ordgBAAAAAABgAAAD8/AD8AAIAAAAAAADwvwLOGVHaG7wSQALYEvJBz2b1PwAAAAAYAAAA/PwA/AACAAAAAAAA8L8CkDF3LSHfEkACI9v5fmq8xL8AAAAAGAAAAPz8APwAAgAAAAAAAPC/ApPLf0i/fQtAAlTjpZvEIO6/AAAAABgAAAD8/AD8AAIAAAAAAADwvwKP5PIf0m/hvwK+wRcmUwXbvwAAAAAgAAAA/PwA/AACAAAAAAAA8L8CP8bctYR87L8CC0YldQKa8D8AAAAAGAAAAPz8APwAAgAAAAAAAPC/AoenV8oyxMk/AtV46SYxiABAAAAAABgAAAD8/AD8AAIAAAAAAADwvwI830+Nl27CvwLaPXlYqDUMQAAAAAAYAAAA/PwA/AACAAAAAAAA8L8CUrgehetR7j8C1QloImw4EkAAAAAAGAAAAPz8APwAAgAAAAAAAPC/AonS3uALEwNAAh6n6EgufxBAAAAAABgAAAD8/AD8AAIAAAAAAADwvwL1SlmGONYFQAI4iUFg5VAFQAAAAAAYAAAA/PwA/AACAAAAAAAA8L8C2j15WKg1+j8C0GbV52or+j8AAAAAJAAAAPz8APwAAgAAAAAAAPC/ArU3+MJkqhBAAgOaCBue3gFAAAAAABgAAAD8/AD8AAIAAAAAAADwvwLQRNjw9Er5vwIPLbKd76cPQAAAAAAYAAAA/PwA/AACAAAAAAAA8L8CyeU/pN++AkACoKut2F92GMAAAAAAASU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wBHgQAAAAAAAAAAAAA</t>
        </r>
      </text>
    </comment>
    <comment ref="A27" authorId="0" shapeId="0" xr:uid="{965E6FD4-318C-41D4-9294-5266249FCE6F}">
      <text>
        <r>
          <rPr>
            <sz val="9"/>
            <color indexed="81"/>
            <rFont val="Segoe UI"/>
            <charset val="1"/>
          </rPr>
          <t>Insight iXlW00001C0000027R0279761703S00000052P02420LAocjBAQBF1NjaVRlZ2ljLmRhdGEuTW9sZWN1bGUBbQF/ARJTY2lUZWdpYy5Nb2xlY3VsZQAAAQFkAv5qAQAAAAIAAgEiGAAAAPz8APwAAgAAAAAAAPC/AoPix5i7lvy/AkJg5dAimxPAAAAAABgAAAD8/AD8AAIAAAAAAADwvwKyv+yePCwKwALaPXlYqHUUwAAAAAAcAAAA/PwA/AACAAAAAAAA8L8CescpOpLLEMACQMbctYR8D8AAAAAAGAAAAPz8APwAAgAAAAAAAPC/AsWPMXctIQ3AApxVn6utWATAAAAAABgAAAD8/AD8AAIAAAAAAADwvwKOl24Sg0ABwAIzxLEubqMCwAAAAAAcAAAA/PwA/AACAAAAAAAA8L8Cl5APejar878C4E+Nl24SDMAAAAAAGAAAAPz8APwAAgAAAAAAAPC/AmN/2T15WNA/Ane+nxovXQrAAAAAACAAAAD8/AD8AAIAAAAAAADwvwJd/kP67evyPwL2udqK/eURwAAAAAAYAAAA/PwA/AACAAAAAAAA8L8Ca7x0kxgE6j8CppvEILBy/r8AAAAAGAAAAPz8APwAAgAAAAAAAPC/AjPEsS5uIwJAAsUgsHJokfi/AAAAABgAAAD8/AD8AAIAAAAAAADwvwLP91PjpRsMQALYgXNGlPYCwAAAAAAYAAAA/PwA/AACAAAAAAAA8L8CAJF++zpwE0ACLiEf9GxW+78AAAAAGAAAAPz8APwAAgAAAAAAAPC/AkoMAiuH1hNAAopBYOXQIsu/AAAAABwAAAD8/AD8AAIAAAAAAADwvwL45GGh1rQNQAJ0tRX7y+7jPwAAAAAYAAAA/PwA/AACAAAAAAAA8L8Cx7q4jQbwAkACCvmgZ7Pqo78AAAAAHAAAAPz8APwAAgAAAAAAAPC/Ao0o7Q2+MO8/AintDb4wmeA/AAAAABgAAAD8/AD8AAIAAAAAAADwvwLLMsSxLm7jPwLFILByaJH/PwAAAAAYAAAA/PwA/AACAAAAAAAA8L8CjpduEoPA6r8CPL1SliEOA0AAAAAAGAAAAPz8APwAAgAAAAAAAPC/AjcawFsgQfO/AlVSJ6CJsA5AAAAAABgAAAD8/AD8AAIAAAAAAADwvwJjf9k9eVjAvwJKnYAmwoYTQAAAAAAYAAAA/PwA/AACAAAAAAAA8L8CQDVeukkM9T8CwFsgQfHjEUAAAAAAGAAAAPz8APwAAgAAAAAAAPC/ArAD54wo7fo/AmgibHh6JQhAAAAAABgAAAD8/AD8AAIAAAAAAADwvwIAIv32deCMPwIxKqkT0ETkvwAAAAAgAAAA/PwA/AACAAAAAAAA8L8CKssQx7q4978C30+Nl24S4b8AAAAAGAAAAPz8APwAAgAAAAAAAPC/AtZW7C+7JwHAAuJYF7fRAOo/AAAAABgAAAD8/AD8AAIAAAAAAADwvwJU46WbxCANwAIWjErqBDTtPwAAAAAYAAAA/PwA/AACAAAAAAAA8L8CS+oENBE2EcACNs07TtERAkAAAAAAGAAAAPz8APwAAgAAAAAAAPC/AiBj7lpCvgvAAtIA3gIJCgxAAAAAABgAAAD8/AD8AAIAAAAAAADwvwJDrWnecYr/vwIFNBE2PD0LQAAAAAAYAAAA/PwA/AACAAAAAAAA8L8CwcqhRbbz9L8C1QloImx4AEAAAAAAJAAAAPz8APwAAgAAAAAAAPC/AljKMsSxLvK/AtGzWfW5mhJAAAAAABgAAAD8/AD8AAIAAAAAAADwvwJlqmBUUucRwAK2hHzQs1nVvwAAAAAgAAAA/PwA/AACAAAAAAAA8L8CYqHWNO84GUACRWlv8IXJ3D8AAAAAGAAAAPz8APwAAgAAAAAAAPC/AjC7Jw8LNR5AAmgibHh6pdi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cAR4EAAAAAAAAASABIQQAAAAAAAAAAAAA</t>
        </r>
      </text>
    </comment>
    <comment ref="A28" authorId="0" shapeId="0" xr:uid="{09720291-F224-49E5-9857-B37163C60F31}">
      <text>
        <r>
          <rPr>
            <sz val="9"/>
            <color indexed="81"/>
            <rFont val="Segoe UI"/>
            <charset val="1"/>
          </rPr>
          <t>Insight iXlW00001C0000028R0279761703S00000054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CQ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29" authorId="0" shapeId="0" xr:uid="{7A199BE7-D53D-4E10-9EA4-0399DB291CA4}">
      <text>
        <r>
          <rPr>
            <sz val="9"/>
            <color indexed="81"/>
            <rFont val="Segoe UI"/>
            <charset val="1"/>
          </rPr>
          <t>Insight iXlW00001C0000029R0279761703S00000056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Y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JAAAAPz8APwAAgAAAAAAAPC/Al5LyAc9mwNAAqCrrdhfds+/AAAAAAERAAAA/PwA/AACAAAAAAAA8L8CRiV1ApoI6b8C/7J78rAQEEAAAAAAASQ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AAAAA=</t>
        </r>
      </text>
    </comment>
    <comment ref="A30" authorId="0" shapeId="0" xr:uid="{B86FF54B-49F3-454E-B638-FFE83A682368}">
      <text>
        <r>
          <rPr>
            <sz val="9"/>
            <color indexed="81"/>
            <rFont val="Segoe UI"/>
            <charset val="1"/>
          </rPr>
          <t>Insight iXlW00001C0000030R0279761703S00000058P02220LAocjBAQBF1NjaVRlZ2ljLmRhdGEuTW9sZWN1bGUBbQF/ARJTY2lUZWdpYy5Nb2xlY3VsZQAAAQFkAv5qAQAAAAIAAgEfGAAAAPz8APwAAgAAAAAAAPC/Ak5iEFg5tPg/Aj55WKg1TRLAAAAAABgAAAD8/AD8AAIAAAAAAADwvwKZu5aQD3raPwLm0CLb+T4WwAAAAAAcAAAA/PwA/AACAAAAAAAA8L8CSgwCK4cW8L8Cd08eFmpNFMAAAAAAGAAAAPz8APwAAgAAAAAAAPC/AqFns+pztfS/AvnCZKpg1AzAAAAAABgAAAD8/AD8AAIAAAAAAADwvwJDPujZrPrEvwKpE9BE2PAEwAAAAAAcAAAA/PwA/AACAAAAAAAA8L8C9wZfmEwV9D8CiBbZzvfTCMAAAAAAGAAAAPz8APwAAgAAAAAAAPC/Amiz6nO1FQNAAjhnRGlv8ADAAAAAACAAAAD8/AD8AAIAAAAAAADwvwLHuriNBnAOQAIWak3zjtMEwAAAAAAYAAAA/PwA/AACAAAAAAAA8L8CvAUSFD/GAEACDy2yne+n5L8AAAAAGAAAAPz8APwAAgAAAAAAAPC/AhvAWyBB8QhAAhi30QDeAt0/AAAAABgAAAD8/AD8AAIAAAAAAADwvwLx9EpZhngSQAL9h/Tb14HbPwAAAAAYAAAA/PwA/AACAAAAAAAA8L8CWmQ730+NFUAC1QloImx4+z8AAAAAGAAAAPz8APwAAgAAAAAAAPC/Avyp8dJNohJAArkehetROAhAAAAAABgAAAD8/AD8AAIAAAAAAADwvwJpAG+BBEUJQALVmuYdp2gIQAAAAAAYAAAA/PwA/AACAAAAAAAA8L8CXkvIBz0bA0AC001iEFg5/D8AAAAAHAAAAPz8APwAAgAAAAAAAPC/AqW9wRcmU+0/AnzysFBrmvc/AAAAABgAAAD8/AD8AAIAAAAAAADwvwLUK2UZ4ljHvwLVCWgibPgDQAAAAAAYAAAA/PwA/AACAAAAAAAA8L8C1QloImx4+r8CKVyPwvWoAUAAAAAAGAAAAPz8APwAAgAAAAAAAPC/Aqd5xyk6EgPAAjBMpgpGJQxAAAAAABgAAAD8/AD8AAIAAAAAAADwvwIg0m9fB871vwIrhxbZzncSQAAAAAAYAAAA/PwA/AACAAAAAAAA8L8CL26jAbwFYr8CxNMrZRniD0AAAAAAGAAAAPz8APwAAgAAAAAAAPC/Ah8Wak3zjuc/AvOwUGuad4y/AAAAABgAAAD8/AD8AAIAAAAAAADwvwL8qfHSTWLivwK2FfvL7snnvwAAAAAYAAAA/PwA/AACAAAAAAAA8L8C1LzjFB3J/b8ClrIMcayLmz8AAAAAGAAAAPz8APwAAgAAAAAAAPC/Ajj4wmSqYAnAAl1txf6ye+a/AAAAABgAAAD8/AD8AAIAAAAAAADwvwIRNjy9UtYRwAJqb/CFyVSxPwAAAAAYAAAA/PwA/AACAAAAAAAA8L8CIGPuWkK+EcACFa5H4XoU+T8AAAAAGAAAAPz8APwAAgAAAAAAAPC/AjnWxW00AAnAAsdLN4lBYAJAAAAAABgAAAD8/AD8AAIAAAAAAADwvwKcxCCwcmj9vwLp2az6XG34PwAAAAAkAAAA/PwA/AACAAAAAAAA8L8CFa5H4XoUF8ACBcWPMXct5b8AAAAAGAAAAPz8APwAAgAAAAAAAPC/AlR0JJf/kAnAAh+F61G4ngHAAAAAAAEjAAQEAAAAAAAAABQEAAAAAAAABAgEAAAAAAAACAwEAAAAAAAADBAEAAAAAAAAEBQEAAAAAAAAFBgEAAAAAAAAGBwIAAAAAAAAGCAEAAAAAAAAICQEAAAAAAAAIAEVCAwAAAAAACQoCAwAAAAAACQ4BAAAAAAAACgsBAAAAAAAACwwCAgAAAAAADA0BAAAAAAAADQ4CAgAAAAAADg8BAAAAAAAADwBEAQAAAAAAAA8ARUEAAAAAAAAARABEQQAAAAAAAABEAEUBAAAAAAAAAERARIEAAAAAAAAARIBEwQAAAAAAAABEwEUBAAAAAAAAAEVARYEAAAAAAAAARYBFwQAAAAAAAABFwEYCAwAAAAAAAEXARwEAAAAAAAAARgBGQQAAAAAAAABGAEeBAAAAAAAAAEZARoICAAAAAAAARkBHQQAAAAAAAABGgEbBAAAAAAAAAEbARwICAAAAAAAAAAAAA==</t>
        </r>
      </text>
    </comment>
    <comment ref="A31" authorId="0" shapeId="0" xr:uid="{341BEC9A-01DC-44EB-A9EA-0372A7E6B572}">
      <text>
        <r>
          <rPr>
            <sz val="9"/>
            <color indexed="81"/>
            <rFont val="Segoe UI"/>
            <charset val="1"/>
          </rPr>
          <t>Insight iXlW00001C0000031R0279761703S00000060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Y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32" authorId="0" shapeId="0" xr:uid="{105F601B-7FF0-4D9B-9EA6-58F01F7034E5}">
      <text>
        <r>
          <rPr>
            <sz val="9"/>
            <color indexed="81"/>
            <rFont val="Segoe UI"/>
            <charset val="1"/>
          </rPr>
          <t>Insight iXlW00001C0000032R0279761703S00000062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wAAAD8/AD8AAIAAAAAAADwvwIkKH6MuesCQAISNjy9UpYPQAAAAAAY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GAAAAPz8APwAAgAAAAAAAPC/Aq2L22gAb9U/Agg9m1WfKxDAAAAAACQAAAD8/AD8AAIAAAAAAADwvwJ5eqUsQ5wSwAL+ZffkYaHmvw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33" authorId="0" shapeId="0" xr:uid="{1BE0FF2A-58BD-4E4E-9406-7BD1FE01E353}">
      <text>
        <r>
          <rPr>
            <sz val="9"/>
            <color indexed="81"/>
            <rFont val="Segoe UI"/>
            <charset val="1"/>
          </rPr>
          <t>Insight iXlW00001C0000033R0279761703S00000064P02420LAocjBAQBF1NjaVRlZ2ljLmRhdGEuTW9sZWN1bGUBbQF/ARJTY2lUZWdpYy5Nb2xlY3VsZQAAAQFkAv5qAQAAAAIAAgEiGAAAAPz8APwAAgAAAAAAAPC/AoPix5i7lvy/AkJg5dAimxPAAAAAABgAAAD8/AD8AAIAAAAAAADwvwKyv+yePCwKwALaPXlYqHUUwAAAAAAcAAAA/PwA/AACAAAAAAAA8L8CescpOpLLEMACQMbctYR8D8AAAAAAGAAAAPz8APwAAgAAAAAAAPC/AsWPMXctIQ3AApxVn6utWATAAAAAABgAAAD8/AD8AAIAAAAAAADwvwKOl24Sg0ABwAIzxLEubqMCwAAAAAAcAAAA/PwA/AACAAAAAAAA8L8Cl5APejar878C4E+Nl24SDMAAAAAAGAAAAPz8APwAAgAAAAAAAPC/AmN/2T15WNA/Ane+nxovXQrAAAAAACAAAAD8/AD8AAIAAAAAAADwvwJd/kP67evyPwL2udqK/eURwAAAAAAYAAAA/PwA/AACAAAAAAAA8L8Ca7x0kxgE6j8CppvEILBy/r8AAAAAGAAAAPz8APwAAgAAAAAAAPC/AjPEsS5uIwJAAsUgsHJokfi/AAAAABgAAAD8/AD8AAIAAAAAAADwvwLP91PjpRsMQALYgXNGlPYCwAAAAAAYAAAA/PwA/AACAAAAAAAA8L8CAJF++zpwE0ACLiEf9GxW+78AAAAAGAAAAPz8APwAAgAAAAAAAPC/AkoMAiuH1hNAAopBYOXQIsu/AAAAABgAAAD8/AD8AAIAAAAAAADwvwL45GGh1rQNQAJ0tRX7y+7jPwAAAAAYAAAA/PwA/AACAAAAAAAA8L8Cx7q4jQbwAkACCvmgZ7Pqo78AAAAAHAAAAPz8APwAAgAAAAAAAPC/Ao0o7Q2+MO8/AintDb4wmeA/AAAAABgAAAD8/AD8AAIAAAAAAADwvwLLMsSxLm7jPwLFILByaJH/PwAAAAAYAAAA/PwA/AACAAAAAAAA8L8CjpduEoPA6r8CPL1SliEOA0AAAAAAGAAAAPz8APwAAgAAAAAAAPC/AjcawFsgQfO/AlVSJ6CJsA5AAAAAABgAAAD8/AD8AAIAAAAAAADwvwJjf9k9eVjAvwJKnYAmwoYTQAAAAAAYAAAA/PwA/AACAAAAAAAA8L8CQDVeukkM9T8CwFsgQfHjEUAAAAAAGAAAAPz8APwAAgAAAAAAAPC/ArAD54wo7fo/AmgibHh6JQhAAAAAABgAAAD8/AD8AAIAAAAAAADwvwIAIv32deCMPwIxKqkT0ETkvwAAAAAgAAAA/PwA/AACAAAAAAAA8L8CKssQx7q4978C30+Nl24S4b8AAAAAGAAAAPz8APwAAgAAAAAAAPC/AtZW7C+7JwHAAuJYF7fRAOo/AAAAABgAAAD8/AD8AAIAAAAAAADwvwLByqFFtvP0vwLVCWgibHgAQAAAAAAYAAAA/PwA/AACAAAAAAAA8L8CQ61p3nGK/78CBTQRNjw9C0AAAAAAGAAAAPz8APwAAgAAAAAAAPC/AiBj7lpCvgvAAtIA3gIJCgxAAAAAABgAAAD8/AD8AAIAAAAAAADwvwJL6gQ0ETYRwAI2zTtO0RECQAAAAAAYAAAA/PwA/AACAAAAAAAA8L8CVOOlm8QgDcACFoxK6gQ07T8AAAAAGAAAAPz8APwAAgAAAAAAAPC/AmWqYFRS5xHAAraEfNCzWdW/AAAAACQAAAD8/AD8AAIAAAAAAADwvwJYyjLEsS7yvwLRs1n1uZoSQAAAAAAgAAAA/PwA/AACAAAAAAAA8L8CYqHWNO84GUACRWlv8IXJ3D8AAAAAGAAAAPz8APwAAgAAAAAAAPC/AjC7Jw8LNR5AAmgibHh6pdi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SABIQQAAAAAAAAAAAAA</t>
        </r>
      </text>
    </comment>
    <comment ref="A34" authorId="0" shapeId="0" xr:uid="{97BC4E3C-5CC5-461A-9DF8-1087F6526794}">
      <text>
        <r>
          <rPr>
            <sz val="9"/>
            <color indexed="81"/>
            <rFont val="Segoe UI"/>
            <charset val="1"/>
          </rPr>
          <t>Insight iXlW00001C0000034R0279761703S00000066P02352LAocjBAQBF1NjaVRlZ2ljLmRhdGEuTW9sZWN1bGUBbQF/ARJTY2lUZWdpYy5Nb2xlY3VsZQAAAQFkAv5qAQAAAAIAAgEhGAAAAPz8APwAAgAAAAAAAPC/AiFB8WPMnRTAAvmgZ7Pqc6U/AAAAABgAAAD8/AD8AAIAAAAAAADwvwIDCYofYy4XwAIhQfFjzF32PwAAAAAcAAAA/PwA/AACAAAAAAAA8L8Ch6dXyjLEE8AC6bevA+cMBUAAAAAAGAAAAPz8APwAAgAAAAAAAPC/AhgmUwWjkgvAAv32deCcEQRAAAAAABgAAAD8/AD8AAIAAAAAAADwvwJTliGOdXEGwALi6ZWyDHHyPwAAAAAcAAAA/PwA/AACAAAAAAAA8L8CS1mGONZFDcACAk2EDU+vtL8AAAAAGAAAAPz8APwAAgAAAAAAAPC/AobJVMGoJAjAAulILv8h/fa/AAAAACAAAAD8/AD8AAIAAAAAAADwvwJ/jLlrCfkOwALNO07RkVwFwAAAAAAYAAAA/PwA/AACAAAAAAAA8L8CIUHxY8xd+L8CwcqhRbbz+L8AAAAAGAAAAPz8APwAAgAAAAAAAPC/ArYV+8vuyee/AiZTBaOSugbAAAAAABgAAAD8/AD8AAIAAAAAAADwvwK2FfvL7snyvwLNO07RkRwRwAAAAAAcAAAA/PwA/AACAAAAAAAA8L8CsVBrmnecwr8C0pFc/kN6FcAAAAAAGAAAAPz8APwAAgAAAAAAAPC/AvMf0m9fB/U/ApxVn6utGBTAAAAAABgAAAD8/AD8AAIAAAAAAADwvwLOqs/VVuz7PwLDhqdXyrIMwAAAAAAYAAAA/PwA/AACAAAAAAAA8L8CXf5D+u3r5j8CutqK/WX3A8AAAAAAHAAAAPz8APwAAgAAAAAAAPC/Ag0CK4cW2eo/AoljXdxGA/C/AAAAABgAAAD8/AD8AAIAAAAAAADwvwIRWDm0yPYAQAIXak3zjlPMvwAAAAAYAAAA/PwA/AACAAAAAAAA8L8CjSjtDb6wAEAC+aBns+pz9D8AAAAAGAAAAPz8APwAAgAAAAAAAPC/AlOWIY518QpAAmfV52ordgBAAAAAABgAAAD8/AD8AAIAAAAAAADwvwLOGVHaG7wSQALYEvJBz2b1PwAAAAAYAAAA/PwA/AACAAAAAAAA8L8CkDF3LSHfEkACI9v5fmq8xL8AAAAAGAAAAPz8APwAAgAAAAAAAPC/ApPLf0i/fQtAAlTjpZvEIO6/AAAAABgAAAD8/AD8AAIAAAAAAADwvwKP5PIf0m/hvwK+wRcmUwXbvwAAAAAgAAAA/PwA/AACAAAAAAAA8L8CP8bctYR87L8CC0YldQKa8D8AAAAAGAAAAPz8APwAAgAAAAAAAPC/AoenV8oyxMk/AtV46SYxiABAAAAAABgAAAD8/AD8AAIAAAAAAADwvwLaPXlYqDX6PwLQZtXnaiv6PwAAAAAYAAAA/PwA/AACAAAAAAAA8L8C9UpZhjjWBUACOIlBYOVQBUAAAAAAGAAAAPz8APwAAgAAAAAAAPC/AonS3uALEwNAAh6n6EgufxBAAAAAABgAAAD8/AD8AAIAAAAAAADwvwJSuB6F61HuPwLVCWgibDgSQAAAAAAYAAAA/PwA/AACAAAAAAAA8L8CPN9PjZduwr8C2j15WKg1DEAAAAAAGAAAAPz8APwAAgAAAAAAAPC/AtBE2PD0Svm/Ag8tsp3vpw9AAAAAACQAAAD8/AD8AAIAAAAAAADwvwK1N/jCZKoQQAIDmggbnt4BQAAAAAAgAAAA/PwA/AACAAAAAAAA8L8CyeU/pN++AkACoKut2F92GMAAAAAAASUABAQAAAAAAAAAFAQAAAAAAAAECAQAAAAAAAAIDAQAAAAAAAAMEAQAAAAAAAAQFAQAAAAAAAAUGAQAAAAAAAAYHAgAAAAAAAAYIAQAAAAAAAAgJAQAAAAAAAAgARYIDAAAAAAAJCgIDAAAAAAAJDgEAAAAAAAAKCwEAAAAAAAALDAEAAAAAAAAMDQEAAAAAAAAMAEgCAAAAAAAADQ4CAgAAAAAADg8BAAAAAAAADwBEAQAAAAAAAA8ARYEAAAAAAAAARABEQgMAAAAAAABEAEVBAAAAAAAAAERARIEAAAAAAAAARIBEwgIAAAAAAABEwEUBAAAAAAAAAEUARUICAAAAAAAARYBFwQAAAAAAAABFwEYBAAAAAAAAAEYARkIDAAAAAAAARgBHQQAAAAAAAABGQEaBAAAAAAAAAEaARsICAAAAAAAARoBHwQAAAAAAAABGwEcBAAAAAAAAAEcAR0ICAAAAAAAAR0BHgQAAAAAAAAAAAAA</t>
        </r>
      </text>
    </comment>
    <comment ref="A35" authorId="0" shapeId="0" xr:uid="{D9042F6C-93FE-4B15-B4AB-68D660C19A3F}">
      <text>
        <r>
          <rPr>
            <sz val="9"/>
            <color indexed="81"/>
            <rFont val="Segoe UI"/>
            <charset val="1"/>
          </rPr>
          <t>Insight iXlW00001C0000035R0279761703S00000068P02980LAocjBAQBF1NjaVRlZ2ljLmRhdGEuTW9sZWN1bGUBbQF/ARJTY2lUZWdpYy5Nb2xlY3VsZQAAAQFkAv5qAQAAAAIAAgEqGAAAAPz8APwAAgAAAAAAAPC/AjWAt0CCohDAAvd14JwRJRPAAAAAABgAAAD8/AD8AAIAAAAAAADwvwKY3ZOHhZoWwAKKH2PuWsITwAAAAAAcAAAA/PwA/AACAAAAAAAA8L8CA5oIG54eGsACescpOpLLDcAAAAAAGAAAAPz8APwAAgAAAAAAAPC/Aibkg57NqhfAArn8h/Tb1wLAAAAAABgAAAD8/AD8AAIAAAAAAADwvwLfcYqO5LIRwAKTqYJRSZ0BwAAAAAAcAAAA/PwA/AACAAAAAAAA8L8C6Gor9pddDMACLiEf9GxWC8AAAAAAGAAAAPz8APwAAgAAAAAAAPC/AiGwcmiRbQDAAkCk374OHArAAAAAACAAAAD8/AD8AAIAAAAAAADwvwKYbhKDwMryvwLtDb4wmeoRwAAAAAAYAAAA/PwA/AACAAAAAAAA8L8CQDVeukkM978C/7J78rBQ/r8AAAAAGAAAAPz8APwAAgAAAAAAAPC/AuY/pN++Dpw/AsdLN4lBYPm/AAAAABgAAAD8/AD8AAIAAAAAAADwvwJt5/up8dLzPwJseHqlLMMDwAAAAAAYAAAA/PwA/AACAAAAAAAA8L8CbVZ9rrbiBEAC5YOezarP/b8AAAAAGAAAAPz8APwAAgAAAAAAAPC/ArU3+MJkKgZAArYV+8vuyde/AAAAABgAAAD8/AD8AAIAAAAAAADwvwL9GHPXEvL4PwJJv30dOGfgPwAAAAAYAAAA/PwA/AACAAAAAAAA8L8CeJyiI7n8xz8CD5wzorQ3uL8AAAAAHAAAAPz8APwAAgAAAAAAAPC/AvJBz2bV5/K/AmU730+Nl+A/AAAAABgAAAD8/AD8AAIAAAAAAADwvwIrqRPQRNj3vwLyY8xdS8j/PwAAAAAYAAAA/PwA/AACAAAAAAAA8L8CFmpN845TB8ACOrTIdr6fA0AAAAAAGAAAAPz8APwAAgAAAAAAAPC/ArOd76fGywnAAlkXt9EAXg9AAAAAABgAAAD8/AD8AAIAAAAAAADwvwKVZYhjXdwAwAIcfGEyVbATQAAAAAAYAAAA/PwA/AACAAAAAAAA8L8CT0ATYcPT5b8C/DpwzojSEUAAAAAAGAAAAPz8APwAAgAAAAAAAPC/Ar3jFB3J5de/AtgS8kHP5gdAAAAAABgAAAD8/AD8AAIAAAAAAADwvwJxrIvbaIABwAI2XrpJDALjvwAAAAAYAAAA/PwA/AACAAAAAAAA8L8CdLUV+8tuDcACLbKd76fG278AAAAAGAAAAPz8APwAAgAAAAAAAPC/AhNhw9MrJRHAAuNYF7fRAO4/AAAAABgAAAD8/AD8AAIAAAAAAADwvwKVZYhjXRwXwAIBb4EExY/xPwAAAAAYAAAA/PwA/AACAAAAAAAA8L8C0gDeAgmKGcACNxrAWyDBA0AAAAAAGAAAAPz8APwAAgAAAAAAAPC/Ao6XbhKDABbAAm7F/rJ7cg1AAAAAABgAAAD8/AD8AAIAAAAAAADwvwIMk6mCUQkQwAIm5IOezSoMQAAAAAAYAAAA/PwA/AACAAAAAAAA8L8Cnu+nxks3C8ACb4EExY8xAUAAAAAAJAAAAPz8APwAAgAAAAAAAPC/AnDwhclUgR/AAn/7OnDOCAVAAAAAABgAAAD8/AD8AAIAAAAAAADwvwLZzvdT46UawALJdr6fGi+9vwAAAAAgAAAA/PwA/AACAAAAAAAA8L8CGuJYF7eREEACNjy9UpYhzj8AAAAAGAAAAPz8APwAAgAAAAAAAPC/ArU3+MJkahVAAhb7y+7Jw+S/AAAAABgAAAD8/AD8AAIAAAAAAADwvwIQ6bevA+caQAK2hHzQs1mlvwAAAAAgAAAA/PwA/AACAAAAAAAA8L8CrD5XW7G/H0ACbxKDwMqh7b8AAAAAGAAAAPz8APwAAgAAAAAAAPC/AnUCmggbniJAAg1xrIvbaNS/AAAAABgAAAD8/AD8AAIAAAAAAADwvwJDrWnecQolQAJVwaikTkDzvwAAAAAYAAAA/PwA/AACAAAAAAAA8L8C8YXJVMHIJ0ACwqikTkAT478AAAAAGAAAAPz8APwAAgAAAAAAAPC/AkM+6NmsGihAAi3UmuYdp+w/AAAAABgAAAD8/AD8AAIAAAAAAADwvwJ1kxgEVq4lQAIoDwu1pnn8PwAAAAAYAAAA/PwA/AACAAAAAAAA8L8Cx7q4jQbwIkACw/UoXI/C8j8AAAAAAS8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ZAR8EAAAAAAAAARoBGwgIAAAAAAABGgEeBAAAAAAAAAEbARwEAAAAAAAAARwBHQgIAAAAAAABIAEhBAAAAAAAAAEhASIEAAAAAAAAASIBIwQAAAAAAAABIwEkBAAAAAAAAAEkASUIDAAAAAAAASQBKQQAAAAAAAABJQEmBAAAAAAAAAEmAScICAAAAAAAAScBKAQAAAAAAAABKAEpCAgAAAAAAAAAAAA=</t>
        </r>
      </text>
    </comment>
    <comment ref="A36" authorId="0" shapeId="0" xr:uid="{FCA6D116-5634-424A-A3BE-EB49B42E555D}">
      <text>
        <r>
          <rPr>
            <sz val="9"/>
            <color indexed="81"/>
            <rFont val="Segoe UI"/>
            <charset val="1"/>
          </rPr>
          <t>Insight iXlW00001C0000036R0279761703S00000070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gAAAD8/AD8AAIAAAAAAADwvwIkKH6MuesCQAISNjy9UpYPQAAAAAAYAAAA/PwA/AACAAAAAAAA8L8C6wQ0ETY8+z8ClBgEVg4tFUAAAAAAH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GAAAAPz8APwAAgAAAAAAAPC/Aq2L22gAb9U/Agg9m1WfKxDAAAAAACQAAAD8/AD8AAIAAAAAAADwvwJ5eqUsQ5wSwAL+ZffkYaHmvw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37" authorId="0" shapeId="0" xr:uid="{D92256E6-4A72-4597-82B2-BC04CB8D9FED}">
      <text>
        <r>
          <rPr>
            <sz val="9"/>
            <color indexed="81"/>
            <rFont val="Segoe UI"/>
            <charset val="1"/>
          </rPr>
          <t>Insight iXlW00001C0000037R0279761703S00000072P02692LAocjBAQBF1NjaVRlZ2ljLmRhdGEuTW9sZWN1bGUBbQF/ARJTY2lUZWdpYy5Nb2xlY3VsZQAAAQFkAv5qAQAAAAIAAgEmGAAAAPz8APwAAgAAAAAAAPC/AuVhodY07wTAArsnDwu15hPAAAAAABgAAAD8/AD8AAIAAAAAAADwvwKzDHGsi1sQwAJ8gy9MpgoVwAAAAAAcAAAA/PwA/AACAAAAAAAA8L8CQ61p3nFKFMACw/UoXI+CEMAAAAAAGAAAAPz8APwAAgAAAAAAAPC/AtsbfGEyVRLAAszuycNCrQXAAAAAABgAAAD8/AD8AAIAAAAAAADwvwL8qfHSTeIIwAKFDU+vlGUDwAAAAAAcAAAA/PwA/AACAAAAAAAA8L8CFD/G3LUEAcACvlKWIY51DMAAAAAAGAAAAPz8APwAAgAAAAAAAPC/AlAeFmpN8+S/Aj2bVZ+rLQrAAAAAACAAAAD8/AD8AAIAAAAAAADwvwKgGi/dJAbVPwI7cM6I0p4RwAAAAAAYAAAA/PwA/AACAAAAAAAA8L8CMEymCkYlxb8CCD2bVZ+r/b8AAAAAGAAAAPz8APwAAgAAAAAAAPC/Ao4G8BZIUPQ/AnnpJjEIrPa/AAAAABgAAAD8/AD8AAIAAAAAAADwvwLHuriNBnAEQAKgGi/dJIYBwAAAAAAYAAAA/PwA/AACAAAAAAAA8L8Cx7q4jQbwDkACWoY41sVt978AAAAAGAAAAPz8APwAAgAAAAAAAPC/AkcDeAskKA9AAnKKjuTyH6I/AAAAABgAAAD8/AD8AAIAAAAAAADwvwKOdXEbDeAEQAIX2c73U+PpPwAAAAAYAAAA/PwA/AACAAAAAAAA8L8CHeviNhrA9D8CUdobfGEytT8AAAAAHAAAAPz8APwAAgAAAAAAAPC/AmHl0CLb+b6/Aqyt2F92T+I/AAAAABgAAAD8/AD8AAIAAAAAAADwvwLKw0Ktad7hvwJ1kxgEVg4AQAAAAAAYAAAA/PwA/AACAAAAAAAA8L8C1LzjFB3J3T8CFmpN847TCEAAAAAAGAAAAPz8APwAAgAAAAAAAPC/AnnpJjEIrJw/AhDpt68DJxJAAAAAABgAAAD8/AD8AAIAAAAAAADwvwJ0tRX7y+72vwLEsS5uo4ETQAAAAAAYAAAA/PwA/AACAAAAAAAA8L8CgNk9eVioA8ACIGPuWkI+DkAAAAAAGAAAAPz8APwAAgAAAAAAAPC/AoDZPXlYKADAAhb7y+7JwwJAAAAAABgAAAD8/AD8AAIAAAAAAADwvwKitDf4wmTwvwIAAAAAAADkvwAAAAAgAAAA/PwA/AACAAAAAAAA8L8C4C2QoPgxBMAC4zYawFsg478AAAAAGAAAAPz8APwAAgAAAAAAAPC/AlMFo5I6AQrAAh3J5T+k3+Y/AAAAABgAAAD8/AD8AAIAAAAAAADwvwI4iUFg5dADwAIAAAAAAAAAQAAAAAAYAAAA/PwA/AACAAAAAAAA8L8Cq2BUUiegCcACyCk6kst/CkAAAAAAGAAAAPz8APwAAgAAAAAAAPC/Ah1aZDvfzxLAAkhy+Q/ptwpAAAAAABgAAAD8/AD8AAIAAAAAAADwvwIPLbKd7+cVwAKP5PIf0m8AQAAAAAAYAAAA/PwA/AACAAAAAAAA8L8CVcGopE4AE8ACOpLLf0i/5z8AAAAAGAAAAPz8APwAAgAAAAAAAPC/AmN/2T15GBbAAsdLN4lBYOG/AAAAACQAAAD8/AD8AAIAAAAAAADwvwLHuriNBnADwALAWyBB8WMSQAAAAAAgAAAA/PwA/AACAAAAAAAA8L8ChxbZzvfTFEACdEaU9gZf6D8AAAAAGAAAAPz8APwAAgAAAAAAAPC/AmRd3EYD+BlAAnRGlPYGX4i/AAAAABgAAAD8/AD8AAIAAAAAAADwvwJkXdxGAzgfQAKzDHGsi9vmPwAAAAAcAAAA/PwA/AACAAAAAAAA8L8Cklz+Q/otIkACzjtO0ZFcrr8AAAAAGAAAAPz8APwAAgAAAAAAAPC/ApJc/kP6zSRAAhB6Nqs+V+U/AAAAABgAAAD8/AD8AAIAAAAAAADwvwIAAAAAACAiQAKMbOf7qfH4vwAAAAABKgAEBAAAAAAAAAAUBAAAAAAAAAQIBAAAAAAAAAgMBAAAAAAAAAwQBAAAAAAAABAUBAAAAAAAABQYBAAAAAAAABgcCAAAAAAAABggBAAAAAAAACAkBAAAAAAAACABFggMAAAAAAAkKAgMAAAAAAAkOAQAAAAAAAAoLAQAAAAAAAAsMAgIAAAAAAAwNAQAAAAAAAAwASAEAAAAAAAANDgICAAAAAAAODwEAAAAAAAAPAEQBAAAAAAAADwBFgQAAAAAAAABEAERCAwAAAAAAAEQARUEAAAAAAAAAREBEgQAAAAAAAABEgETCAgAAAAAAAETARQEAAAAAAAAARQBFQgIAAAAAAABFgEXBAAAAAAAAAEXARgEAAAAAAAAARgBGQgMAAAAAAABGAEdBAAAAAAAAAEZARoEAAAAAAAAARoBGwgIAAAAAAABGgEfBAAAAAAAAAEbARwEAAAAAAAAARwBHQgIAAAAAAABHQEeBAAAAAAAAAEgASEEAAAAAAAAASEBIgQAAAAAAAABIgEjBAAAAAAAAAEjASQEAAAAAAAAASMBJQQAAAAAAAAAAAAA</t>
        </r>
      </text>
    </comment>
    <comment ref="A38" authorId="0" shapeId="0" xr:uid="{BE054031-DA83-46FD-8795-333EFD419099}">
      <text>
        <r>
          <rPr>
            <sz val="9"/>
            <color indexed="81"/>
            <rFont val="Segoe UI"/>
            <charset val="1"/>
          </rPr>
          <t>Insight iXlW00001C0000038R0279761703S00000074P02556LAocjBAQBF1NjaVRlZ2ljLmRhdGEuTW9sZWN1bGUBbQF/ARJTY2lUZWdpYy5Nb2xlY3VsZQAAAQFkAv5qAQAAAAIAAgEkGAAAAPz8APwAAgAAAAAAAPC/AgfwFkhQ/P+/AhUdyeU/pBPAAAAAABgAAAD8/AD8AAIAAAAAAADwvwKzne+nxssLwAJ+jLlrCbkUwAAAAAAcAAAA/PwA/AACAAAAAAAA8L8Ct9EA3gLJEcACEOm3rwMnEMAAAAAAGAAAAPz8APwAAgAAAAAAAPC/AnyDL0ymig/AAnGsi9toAAXAAAAAABgAAAD8/AD8AAIAAAAAAADwvwLNXUvIB70DwAKfzarP1dYCwAAAAAAcAAAA/PwA/AACAAAAAAAA8L8CsAPnjCjt978CexSuR+H6C8AAAAAAGAAAAPz8APwAAgAAAAAAAPC/AnsUrkfhepS/Aqk1zTtO0QnAAAAAACAAAAD8/AD8AAIAAAAAAADwvwJNpgpGJXXuPwJDPujZrHoRwAAAAAAYAAAA/PwA/AACAAAAAAAA8L8CUB4Wak3z3j8C8x/Sb18H/b8AAAAAGAAAAPz8APwAAgAAAAAAAPC/AqVOQBNhw/4/AoofY+5aQva/AAAAABgAAAD8/AD8AAIAAAAAAADwvwLSb18HzpkJQAIkKH6MuWsBwAAAAAAYAAAA/PwA/AACAAAAAAAA8L8C3NeBc0YUEkACrYvbaABv978AAAAAGAAAAPz8APwAAgAAAAAAAPC/Ao9TdCSXPxJAAqk1zTtO0aE/AAAAABgAAAD8/AD8AAIAAAAAAADwvwLXNO84RUcKQALXNO84RUfqPwAAAAAYAAAA/PwA/AACAAAAAAAA8L8C4umVsgxx/z8C+1xtxf6yuz8AAAAAHAAAAPz8APwAAgAAAAAAAPC/Aibkg57NquE/Amsr9pfdk+M/AAAAABgAAAD8/AD8AAIAAAAAAADwvwLY8PRKWYbAPwJj7lpCPmgAQAAAAAAYAAAA/PwA/AACAAAAAAAA8L8Cih9j7lpC9b8CQYLix5g7A0AAAAAAGAAAAPz8APwAAgAAAAAAAPC/AvMf0m9fB/y/AsrlP6Tfvg5AAAAAABgAAAD8/AD8AAIAAAAAAADwvwKMbOf7qfHmvwK62or9ZbcTQAAAAAAYAAAA/PwA/AACAAAAAAAA8L8Cvw6cM6K05z8C6Pup8dJNEkAAAAAAGAAAAPz8APwAAgAAAAAAAPC/AskHPZtVn/I/AkeU9gZfGAlAAAAAABgAAAD8/AD8AAIAAAAAAADwvwIZc9cS8kHXvwLi6ZWyDHHivwAAAAAYAAAA/PwA/AACAAAAAAAA8L8CINJvXwfO/b8CSgwCK4cW4b8AAAAAGAAAAPz8APwAAgAAAAAAAPC/ApchjnVxmwTAAk7zjlN0JOk/AAAAABgAAAD8/AD8AAIAAAAAAADwvwIijnVxG00QwALIKTqSy3/qPwAAAAAYAAAA/PwA/AACAAAAAAAA8L8CSb99HTgnE8ACWMoyxLEuAUAAAAAAGAAAAPz8APwAAgAAAAAAAPC/Ahlz1xLyARDAAp88LNSaZgtAAAAAABgAAAD8/AD8AAIAAAAAAADwvwKF61G4HgUEwAI5RUdy+Q8LQAAAAAAYAAAA/PwA/AACAAAAAAAA8L8CbxKDwMqh/L8CUwWjkjqBAEAAAAAAJAAAAPz8APwAAgAAAAAAAPC/Ap88LNSaJhnAAr7BFyZThQFAAAAAABgAAAD8/AD8AAIAAAAAAADwvwI17zhFR3ITwAJw8IXJVMHcvwAAAAAgAAAA/PwA/AACAAAAAAAA8L8CgnNGlPaGF0ACdLUV+8vu5z8AAAAAGAAAAPz8APwAAgAAAAAAAPC/AsIXJlMFoxxAAoPAyqFFtqO/AAAAABgAAAD8/AD8AAIAAAAAAADwvwLbG3xhMvUgQAIv3SQGgZXlPwAAAAAgAAAA/PwA/AACAAAAAAAA8L8CbHh6pSyDI0ACaCJseHqlvL8AAAAAASgABAQAAAAAAAAAFAQAAAAAAAAECAQAAAAAAAAIDAQAAAAAAAAMEAQAAAAAAAAQFAQAAAAAAAAUGAQAAAAAAAAYHAgAAAAAAAAYIAQAAAAAAAAgJAQAAAAAAAAgARYIDAAAAAAAJCgIDAAAAAAAJDgEAAAAAAAAKCwEAAAAAAAALDAICAAAAAAAMDQEAAAAAAAAMAEgBAAAAAAAADQ4CAgAAAAAADg8BAAAAAAAADwBEAQAAAAAAAA8ARYEAAAAAAAAARABEQgMAAAAAAABEAEVBAAAAAAAAAERARIEAAAAAAAAARIBEwgIAAAAAAABEwEUBAAAAAAAAAEUARUICAAAAAAAARYBFwQAAAAAAAABFwEYBAAAAAAAAAEYARkIDAAAAAAAARgBHQQAAAAAAAABGQEaBAAAAAAAAAEZAR8EAAAAAAAAARoBGwgIAAAAAAABGgEeBAAAAAAAAAEbARwEAAAAAAAAARwBHQgIAAAAAAABIAEhBAAAAAAAAAEhASIEAAAAAAAAASIBIwQAAAAAAAAAAAAA</t>
        </r>
      </text>
    </comment>
    <comment ref="A39" authorId="0" shapeId="0" xr:uid="{4D303B0C-841B-4B3A-9A1C-3C167DE52A3A}">
      <text>
        <r>
          <rPr>
            <sz val="9"/>
            <color indexed="81"/>
            <rFont val="Segoe UI"/>
            <charset val="1"/>
          </rPr>
          <t>Insight iXlW00001C0000039R0279761703S00000076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Ad4CCYqfAcAC16NwPQrX8T8AAAAAGAAAAPz8APwAAgAAAAAAAPC/AgR4CyQo/gzAAsE5I0p7g/k/AAAAABgAAAD8/AD8AAIAAAAAAADwvwIJih9j7loPwAIvbqMBvIUIQAAAAAAYAAAA/PwA/AACAAAAAAAA8L8C1CtlGeJYBsACKA8LtaY5EEAAAAAAGAAAAPz8APwAAgAAAAAAAPC/AqMjufyH9PW/AlvTvOMUnQxAAAAAABgAAAD8/AD8AAIAAAAAAADwvwIuIR/0bFbpPwJd/kP67evIPwAAAAAYAAAA/PwA/AACAAAAAAAA8L8C95fdk4eFur8C3UYDeAsk8L8AAAAAGAAAAPz8APwAAgAAAAAAAPC/AubQItv5fvm/Apt3nKIjueq/AAAAABgAAAD8/AD8AAIAAAAAAADwvwJFR3L5D+kDwAI7AU2EDU8AwAAAAAAYAAAA/PwA/AACAAAAAAAA8L8C+cJkqmDUD8AC16NwPQrX/b8AAAAAGAAAAPz8APwAAgAAAAAAAPC/Au0vuycPSxLAAkT67evAOd+/AAAAABgAAAD8/AD8AAIAAAAAAADwvwIHgZVDi2wNwAIukKD4MebmPwAAAAAYAAAA/PwA/AACAAAAAAAA8L8CUwWjkjqBAcAC8tJNYhBY4T8AAAAAJAAAAPz8APwAAgAAAAAAAPC/AubQItv5fhPAAkA1XrpJjAjAAAAAABgAAAD8/AD8AAIAAAAAAADwvwLKVMGopE7+vwLek4eFWlMLwAAAAAABJAAEBAAAAAAAAAAUBAAAAAAAAAQIBAAAAAAAAAgMBAAAAAAAAAwQBAAAAAAAABAUBAAAAAAAABQYBAAAAAAAABgcCAAAAAAAABggBAAAAAAAACAkBAAAAAAAACABFggMAAAAAAAkKAgMAAAAAAAkOAQAAAAAAAAoLAQAAAAAAAAsMAgIAAAAAAAwNAQAAAAAAAA0OAgIAAAAAAA4PAQAAAAAAAA8ARAEAAAAAAAAPAEWBAAAAAAAAAEQAREEAAAAAAAAARABFQQAAAAAAAABEQESBAAAAAAAAAESARMEAAAAAAAAARMBFAQAAAAAAAABFAEVBAAAAAAAAAEWARcEAAAAAAAAARcBGAQAAAAAAAABGAEZCAwAAAAAAAEYAR0EAAAAAAAAARkBGgQAAAAAAAABGQEfBAAAAAAAAAEaARsICAAAAAAAARoBHgQAAAAAAAABGwEcBAAAAAAAAAEcAR0ICAAAAAAAAAAAAA==</t>
        </r>
      </text>
    </comment>
    <comment ref="A40" authorId="0" shapeId="0" xr:uid="{5D587D0A-122A-4064-B30A-E2B17EAF2DD8}">
      <text>
        <r>
          <rPr>
            <sz val="9"/>
            <color indexed="81"/>
            <rFont val="Segoe UI"/>
            <charset val="1"/>
          </rPr>
          <t>Insight iXlW00001C0000040R0279761703S00000078P02488LAocjBAQBF1NjaVRlZ2ljLmRhdGEuTW9sZWN1bGUBbQF/ARJTY2lUZWdpYy5Nb2xlY3VsZQAAAQFkAv5qAQAAAAIAAgEjGAAAAPz8APwAAgAAAAAAAPC/AnKKjuTyH/a/ArN78rBQaxPAAAAAABgAAAD8/AD8AAIAAAAAAADwvwIRWDm0yPYGwAKP5PIf0i8UwAAAAAAcAAAA/PwA/AACAAAAAAAA8L8CIGPuWkI+DsACE/JBz2bVDsAAAAAAGAAAAPz8APwAAgAAAAAAAPC/ApAxdy0hnwnAAoofY+5awgPAAAAAABgAAAD8/AD8AAIAAAAAAADwvwJxPQrXo3D7vwIMJCh+jDkCwAAAAAAcAAAA/PwA/AACAAAAAAAA8L8CpU5AE2HD6b8CFvvL7snDC8AAAAAAGAAAAPz8APwAAgAAAAAAAPC/Arn8h/Tb1+U/Al8pyxDHOgrAAAAAACAAAAD8/AD8AAIAAAAAAADwvwLswDkjSnv5PwI1gLdAguIRwAAAAAAYAAAA/PwA/AACAAAAAAAA8L8CfGEyVTAq9D8CrK3YX3ZP/r8AAAAAGAAAAPz8APwAAgAAAAAAAPC/AlJJnYAmwgVAAmkAb4EExfi/AAAAABgAAAD8/AD8AAIAAAAAAADwvwLFjzF3LaEPQAJpke18PzUDwAAAAAAcAAAA/PwA/AACAAAAAAAA8L8CeJyiI7k8FUACTvOOU3Qk/L8AAAAAGAAAAPz8APwAAgAAAAAAAPC/AtNNYhBYuRVAAsTTK2UZ4tC/AAAAABgAAAD8/AD8AAIAAAAAAADwvwKZKhiV1MkQQALvWkI+6NniPwAAAAAYAAAA/PwA/AACAAAAAAAA8L8CCKwcWmS7BkACq8/VVuwvq78AAAAAHAAAAPz8APwAAgAAAAAAAPC/Av+ye/KwUPc/AkVpb/CFyeA/AAAAABgAAAD8/AD8AAIAAAAAAADwvwK8BRIUP8bxPwLK5T+k377/PwAAAAAYAAAA/PwA/AACAAAAAAAA8L8C/yH99nXg1L8CHVpkO99PA0AAAAAAGAAAAPz8APwAAgAAAAAAAPC/AoXrUbgeheW/AnicoiO5/A5AAAAAABgAAAD8/AD8AAIAAAAAAADwvwLarPpcbcXaPwIGEhQ/xpwTQAAAAAAYAAAA/PwA/AACAAAAAAAA8L8Cc/kP6bev/T8Cat5xio7kEUAAAAAAGAAAAPz8APwAAgAAAAAAAPC/AlvTvOMUnQFAAkCk374OHAhAAAAAABgAAAD8/AD8AAIAAAAAAADwvwK5HoXrUbjePwKNuWsJ+aDjvwAAAAAgAAAA/PwA/AACAAAAAAAA8L8Cr7Zif9k98L8CZF3cRgN4378AAAAAGAAAAPz8APwAAgAAAAAAAPC/AjLmriXkg/q/Avd14JwRpes/AAAAABgAAAD8/AD8AAIAAAAAAADwvwKUh4Va07zpvwLxY8xdS8gAQAAAAAAYAAAA/PwA/AACAAAAAAAA8L8Cv58aL90k978CHA3gLZCgC0AAAAAAGAAAAPz8APwAAgAAAAAAAPC/Ag5Pr5RliAfAAtNvXwfOmQxAAAAAABgAAAD8/AD8AAIAAAAAAADwvwIJih9j7loOwAImUwWjkroCQAAAAAAYAAAA/PwA/AACAAAAAAAA8L8CSHL5D+k3CcAC8KfGSzeJ7z8AAAAAGAAAAPz8APwAAgAAAAAAAPC/Ar7BFyZTBRDAAnrHKTqSy8+/AAAAACQAAAD8/AD8AAIAAAAAAADwvwKcxCCwcigVwALdtYR80LMDQAAAAAAYAAAA/PwA/AACAAAAAAAA8L8CyQc9m1Wf5T8CCKwcWmS7AkAAAAAAIAAAAPz8APwAAgAAAAAAAPC/AmgibHh6JRtAAkvqBDQRNtg/AAAAABgAAAD8/AD8AAIAAAAAAADwvwJsCfmgZ3MQwAJxPQrXo3D0vwAAAAABJwAEBAAAAAAAAAAUBAAAAAAAAAQIBAAAAAAAAAgMBAAAAAAAAAwQBAAAAAAAAAwBIgQAAAAAAAAQFAQAAAAAAAAUGAQAAAAAAAAYHAgAAAAAAAAYIAQAAAAAAAAgJAQAAAAAAAAgARYIDAAAAAAAJCgIDAAAAAAAJDgEAAAAAAAAKCwEAAAAAAAALDAEAAAAAAAAMDQEAAAAAAAAMAEhCAAAAAAAADQ4CAgAAAAAADg8BAAAAAAAADwBEAQAAAAAAAA8ARYEAAAAAAAAARABEQQAAAAAAAABEAEVBAAAAAAAAAERARIEAAAAAAAAARIBEwQAAAAAAAABEwEUBAAAAAAAAAEUARUEAAAAAAAAARYBFwQAAAAAAAABFwEYBAAAAAAAAAEYARkIDAAAAAAAARgBHQQAAAAAAAABGQEaBAAAAAAAAAEZASAEAAAAAAAAARoBGwgIAAAAAAABGwEcBAAAAAAAAAEcAR0ICAAAAAAAARwBHwQAAAAAAAABHQEeBAAAAAAAAAAAAAA=</t>
        </r>
      </text>
    </comment>
    <comment ref="A41" authorId="0" shapeId="0" xr:uid="{F216F7B6-25F4-40F0-A906-380D9F1BF55E}">
      <text>
        <r>
          <rPr>
            <sz val="9"/>
            <color indexed="81"/>
            <rFont val="Segoe UI"/>
            <charset val="1"/>
          </rPr>
          <t>Insight iXlW00001C0000041R0279761703S00000080P02560LAocjBAQBF1NjaVRlZ2ljLmRhdGEuTW9sZWN1bGUBbQF/ARJTY2lUZWdpYy5Nb2xlY3VsZQAAAQFkAv5qAQAAAAIAAgEkGAAAAPz8APwAAgAAAAAAAPC/AhwN4C2QoAHAAio6kst/SBPAAAAAABgAAAD8/AD8AAIAAAAAAADwvwJyGw3gLZANwAKDUUmdgOYTwAAAAAAcAAAA/PwA/AACAAAAAAAA8L8C6bevA+dMEsACTYQNT68UDsAAAAAAGAAAAPz8APwAAgAAAAAAAPC/At21hHzQsw/AAuM2GsBbIAPAAAAAABgAAAD8/AD8AAIAAAAAAADwvwJP0ZFc/sMDwAIxCKwcWuQBwAAAAAAcAAAA/PwA/AACAAAAAAAA8L8C2/l+arx0+b8CsVBrmnecC8AAAAAAGAAAAPz8APwAAgAAAAAAAPC/AvLSTWIQWLm/AgAi/fZ1YArAAAAAACAAAAD8/AD8AAIAAAAAAADwvwIll/+QfvvoPwJANV66SQwSwAAAAAAYAAAA/PwA/AACAAAAAAAA8L8Cdy0hH/Rs4D8CK6kT0ETY/r8AAAAAGAAAAPz8APwAAgAAAAAAAPC/Aoqw4emVsv8/AmrecYqO5Pm/AAAAABgAAAD8/AD8AAIAAAAAAADwvwJe3EYDeIsJQAJrvHSTGAQEwAAAAAAYAAAA/PwA/AACAAAAAAAA8L8CNV66SQxCEkACWag1zTtO/r8AAAAAGAAAAPz8APwAAgAAAAAAAPC/Avd14JwR5RJAAoenV8oyxNm/AAAAABgAAAD8/AD8AAIAAAAAAADwvwKdEaW9wRcMQAInwoanV8rePwAAAAAYAAAA/PwA/AACAAAAAAAA8L8CyQc9m1UfAUACl/+Qfvs6wL8AAAAAHAAAAPz8APwAAgAAAAAAAPC/AnnpJjEIrOg/AqQBvAUSFN8/AAAAABgAAAD8/AD8AAIAAAAAAADwvwLwp8ZLN4ndPwLGbTSAt0D/PwAAAAAYAAAA/PwA/AACAAAAAAAA8L8CswxxrIvb7r8CmN2Th4VaA0AAAAAAGAAAAPz8APwAAgAAAAAAAPC/AhpR2ht8YfS/AkeU9gZfGA9AAAAAABgAAAD8/AD8AAIAAAAAAADwvwKh+DHmriXEvwI8vVKWIY4TQAAAAAAYAAAA/PwA/AACAAAAAAAA8L8CQfFjzF1L9D8C4umVsgyxEUAAAAAAGAAAAPz8APwAAgAAAAAAAPC/AgK8BRIUP/k/AhUdyeU/pAdAAAAAABgAAAD8/AD8AAIAAAAAAADwvwJrvHSTGATOvwIVrkfhehTkvwAAAAAYAAAA/PwA/AACAAAAAAAA8L8CdgKaCBue+78CDuAtkKD43b8AAAAAGAAAAPz8APwAAgAAAAAAAPC/AkETYcPTqwLAAkw3iUFg5ew/AAAAABgAAAD8/AD8AAIAAAAAAADwvwK1yHa+n5oOwAIep+hILv/wPwAAAAAYAAAA/PwA/AACAAAAAAAA8L8CXW3F/rK7EcACZF3cRgN4A0AAAAAAGAAAAPz8APwAAgAAAAAAAPC/Ar3jFB3JZQzAArU3+MJkKg1AAAAAABgAAAD8/AD8AAIAAAAAAADwvwJJLv8h/XYAwAL5MeauJeQLQAAAAAAYAAAA/PwA/AACAAAAAAAA8L8ChzjWxW00978CJCh+jLnrAEAAAAAAJAAAAPz8APwAAgAAAAAAAPC/AvtcbcX+shfAAueMKO0NvgRAAAAAABgAAAD8/AD8AAIAAAAAAADwvwLZX3ZPHtYSwAIjbHh6pSzDvwAAAAABEAAAAPz8APwAAgAAAAAAAPC/AuJ6FK5HYRhAAtc07zhFR8o/AAAAACAAAAD8/AD8AAIAAAAAAADwvwLChqdXyvIVQAJE+u3rwDn5PwAAAAAYAAAA/PwA/AACAAAAAAAA8L8CzH9Iv33dHUACL26jAbwF6j8AAAAAIAAAAPz8APwAAgAAAAAAAPC/AgFvgQTFzxpAAg8tsp3vp/K/AAAAAAEo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QEfBAAAAAAAAAEaARsICAAAAAAAARoBHgQAAAAAAAABGwEcBAAAAAAAAAEcAR0ICAAAAAAAASABIQgAAAAAAAABIAEiBAAAAAAAAAEgASMIAAAAAAAAAAAAAA==</t>
        </r>
      </text>
    </comment>
    <comment ref="A42" authorId="0" shapeId="0" xr:uid="{E474A6F2-0DBA-4068-A67C-4C645659D69C}">
      <text>
        <r>
          <rPr>
            <sz val="9"/>
            <color indexed="81"/>
            <rFont val="Segoe UI"/>
            <charset val="1"/>
          </rPr>
          <t>Insight iXlW00001C0000042R0279761703S00000082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wAAAD8/AD8AAIAAAAAAADwvwIkKH6MuesCQAISNjy9UpYPQAAAAAAY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AREAAAD8/AD8AAIAAAAAAADwvwKti9toAG/VPwIIPZtVnysQwAAAAAAkAAAA/PwA/AACAAAAAAAA8L8CeXqlLEOcEsAC/mX35GGh5r8AAAAAASQ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gEfBAAAAAAAAAEbARwEAAAAAAAAARwBHQgIAAAAAAABHQEeBAAAAAAAAAAAAAA=</t>
        </r>
      </text>
    </comment>
    <comment ref="A43" authorId="0" shapeId="0" xr:uid="{1BD08274-89E6-43B0-811D-F76BB86F5935}">
      <text>
        <r>
          <rPr>
            <sz val="9"/>
            <color indexed="81"/>
            <rFont val="Segoe UI"/>
            <charset val="1"/>
          </rPr>
          <t>Insight iXlW00001C0000043R0279761703S00000084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w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g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44" authorId="0" shapeId="0" xr:uid="{BAA7468B-AFB1-468A-98DA-89BC933EE962}">
      <text>
        <r>
          <rPr>
            <sz val="9"/>
            <color indexed="81"/>
            <rFont val="Segoe UI"/>
            <charset val="1"/>
          </rPr>
          <t>Insight iXlW00001C0000044R0279761703S00000086P02624LAocjBAQBF1NjaVRlZ2ljLmRhdGEuTW9sZWN1bGUBbQF/ARJTY2lUZWdpYy5Nb2xlY3VsZQAAAQFkAv5qAQAAAAIAAgElGAAAAPz8APwAAgAAAAAAAPC/AocW2c73UwLAAkjhehSuBxDAAAAAABgAAAD8/AD8AAIAAAAAAADwvwIXSFD8GPMNwAI2zTtO0RENwAAAAAAcAAAA/PwA/AACAAAAAAAA8L8CoImw4emVEMACpwpGJXWCAcAAAAAAGAAAAPz8APwAAgAAAAAAAPC/AqLWNO84xQjAAlMnoImw4fG/AAAAABgAAAD8/AD8AAIAAAAAAADwvwKV9gZfmEz6vwKVZYhjXdz3vwAAAAAcAAAA/PwA/AACAAAAAAAA8L8CQmDl0CLb878CWvW52op9B8AAAAAAGAAAAPz8APwAAgAAAAAAAPC/AvAWSFD8GMs/AnsUrkfhegrAAAAAACAAAAD8/AD8AAIAAAAAAADwvwKA2T15WKjjPwKF61G4HgUTwAAAAAAYAAAA/PwA/AACAAAAAAAA8L8Cq8/VVuwv9D8Cfh04Z0TpAcAAAAAAGAAAAPz8APwAAgAAAAAAAPC/AhFYObTI9gVAAtBm1edqqwPAAAAAABwAAAD8/AD8AAIAAAAAAADwvwKamZmZmZkMQAJfukkMAqsNwAAAAAAYAAAA/PwA/AACAAAAAAAA8L8CmSoYldRJFEACJCh+jLnrDMAAAAAAGAAAAPz8APwAAgAAAAAAAPC/AqFns+pz9RZAAltCPujZLALAAAAAABgAAAD8/AD8AAIAAAAAAADwvwLdRgN4C6QTQAKY3ZOHhVrwvwAAAAAYAAAA/PwA/AACAAAAAAAA8L8CINJvXwdOC0ACDQIrhxbZ8b8AAAAAHAAAAPz8APwAAgAAAAAAAPC/AiPb+X5qvAJAAvhT46WbxLC/AAAAABgAAAD8/AD8AAIAAAAAAADwvwJ1JJf/kH4EQAI3qz5XW7H2PwAAAAAYAAAA/PwA/AACAAAAAAAA8L8CHHxhMlUw9j8CINJvXwfOAkAAAAAAGAAAAPz8APwAAgAAAAAAAPC/Ar8OnDOitPk/AltCPujZrA5AAAAAABgAAAD8/AD8AAIAAAAAAADwvwKJY13cRgMIQAIJG55eKYsRQAAAAAAYAAAA/PwA/AACAAAAAAAA8L8CFNBE2PC0EEACjblrCfmgC0AAAAAAGAAAAPz8APwAAgAAAAAAAPC/Ap6AJsKGpw9AAqOSOgFNhP8/AAAAABgAAAD8/AD8AAIAAAAAAADwvwJR2ht8YTLwPwKsrdhfdk/ovwAAAAAgAAAA/PwA/AACAAAAAAAA8L8CBcWPMXct1b8Cayv2l92Tt78AAAAAGAAAAPz8APwAAgAAAAAAAPC/ApoIG55eKdu/AnsUrkfhevY/AAAAABgAAAD8/AD8AAIAAAAAAADwvwK5jQbwFkj8vwJNhA1Pr5QAQAAAAAAYAAAA/PwA/AACAAAAAAAA8L8CLbKd76fG/b8C5j+k376ODEAAAAAAGAAAAPz8APwAAgAAAAAAAPC/Ah8Wak3zjuO/AptVn6utmBFAAAAAABgAAAD8/AD8AAIAAAAAAADwvwIGgZVDi2znPwInMQisHNoNQAAAAAAYAAAA/PwA/AACAAAAAAAA8L8C0SLb+X5q6j8CjnVxGw3gAUAAAAAAGAAAAPz8APwAAgAAAAAAAPC/Avw6cM6IUgJAAhI2PL1Slv4/AAAAABgAAAD8/AD8AAIAAAAAAADwvwJsmnecoiMIwAKIhVrTvOPzPwAAAAAYAAAA/PwA/AACAAAAAAAA8L8Cy6FFtvP9C8ACMnctIR/01D8AAAAAGAAAAPz8APwAAgAAAAAAAPC/Aq5p3nGKzhPAAh44Z0Rpb+Y/AAAAACAAAAD8/AD8AAIAAAAAAADwvwLhnBGlvQEYwAKuR+F6FK7XvwAAAAAYAAAA/PwA/AACAAAAAAAA8L8CqTXNO07RHcACrK3YX3ZPbj8AAAAAIAAAAPz8APwAAgAAAAAAAPC/Aibkg57NahXAApeQD3o2KwFAAAAAAAEpAAQEAAAAAAAAABQEAAAAAAAABAgEAAAAAAAACAwEAAAAAAAADBAEAAAAAAAADAEg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BIQEiBAAAAAAAAAEhASQIAAAAAAAAASIBIwQAAAAAAAAAAAAA</t>
        </r>
      </text>
    </comment>
    <comment ref="A45" authorId="0" shapeId="0" xr:uid="{57DD3D3E-F675-4C16-8E68-4846CDD76A64}">
      <text>
        <r>
          <rPr>
            <sz val="9"/>
            <color indexed="81"/>
            <rFont val="Segoe UI"/>
            <charset val="1"/>
          </rPr>
          <t>Insight iXlW00001C0000045R0279761703S00000088P02352LAocjBAQBF1NjaVRlZ2ljLmRhdGEuTW9sZWN1bGUBbQF/ARJTY2lUZWdpYy5Nb2xlY3VsZQAAAQFkAv5qAQAAAAIAAgEhGAAAAPz8APwAAgAAAAAAAPC/AtEi2/l+qhPAAuM2GsBbIOO/AAAAABgAAAD8/AD8AAIAAAAAAADwvwJ+HThnRKkWwAIRWDm0yHbmPwAAAAAcAAAA/PwA/AACAAAAAAAA8L8CKxiV1AmoE8ACqoJRSZ0AAEAAAAAAGAAAAPz8APwAAgAAAAAAAPC/AlYwKqkTUAvAAiWX/5B++/8/AAAAABgAAAD8/AD8AAIAAAAAAADwvwL8OnDOiFIFwAJWn6ut2F/mPwAAAAAcAAAA/PwA/AACAAAAAAAA8L8CokW28/1UC8ACI2x4eqUs478AAAAAGAAAAPz8APwAAgAAAAAAAPC/AoEmwoanVwXAAov9ZffkYf6/AAAAACAAAAD8/AD8AAIAAAAAAADwvwInMQisHFoLwAJrK/aX3ZMJwAAAAAAYAAAA/PwA/AACAAAAAAAA8L8CAU2EDU+v8r8CumsJ+aBn/r8AAAAAGAAAAPz8APwAAgAAAAAAAPC/AhpR2ht8YdK/AkLPZtXn6gjAAAAAABwAAAD8/AD8AAIAAAAAAADwvwKe76fGSzfjvwIWak3zjlMSwAAAAAAYAAAA/PwA/AACAAAAAAAA8L8Cdy0hH/Rs4D8CY3/ZPXlYFsAAAAAAGAAAAPz8APwAAgAAAAAAAPC/Al7cRgN4C/8/Ah6n6EgufxTAAAAAABgAAAD8/AD8AAIAAAAAAADwvwK7SQwCKwcCQAJSSZ2AJkINwAAAAAAYAAAA/PwA/AACAAAAAAAA8L8CXLG/7J488j8CuR6F61E4BcAAAAAAHAAAAPz8APwAAgAAAAAAAPC/AoofY+5aQvI/AnE9CtejcPK/AAAAABgAAAD8/AD8AAIAAAAAAADwvwIqqRPQRNgCQAKcxCCwcmjRvwAAAAAYAAAA/PwA/AACAAAAAAAA8L8CC0YldQKaAUACFD/G3LWE8z8AAAAAGAAAAPz8APwAAgAAAAAAAPC/AnBfB84ZUQtAAuj7qfHSzQBAAAAAABgAAAD8/AD8AAIAAAAAAADwvwLeAgmKHyMTQALek4eFWtP3PwAAAAAYAAAA/PwA/AACAAAAAAAA8L8CbjSAt0DCE0AC4ZwRpb3BZ78AAAAAGAAAAPz8APwAAgAAAAAAAPC/AndPHhZqzQ1AAjEqqRPQROy/AAAAABgAAAD8/AD8AAIAAAAAAADwvwJ5WKg1zTvSvwLiWBe30QDmvwAAAAAgAAAA/PwA/AACAAAAAAAA8L8CY+5aQj7o578CYjJVMCqp5z8AAAAAGAAAAPz8APwAAgAAAAAAAPC/Aj/G3LWEfNA/Akt7gy9Mpv0/AAAAABgAAAD8/AD8AAIAAAAAAADwvwKUGARWDi3KvwKvtmJ/2T0KQAAAAAAYAAAA/PwA/AACAAAAAAAA8L8CXkvIBz2b6T8C3pOHhVqTEUAAAAAAGAAAAPz8APwAAgAAAAAAAPC/Avvt68A5IwJAAhgmUwWjUhBAAAAAABgAAAD8/AD8AAIAAAAAAADwvwJMyAc9m9UFQAImUwWjkjoFQAAAAAAYAAAA/PwA/AACAAAAAAAA8L8C1udqK/aX+z8CM8SxLm6j+D8AAAAAGAAAAPz8APwAAgAAAAAAAPC/AmgibHh6JQRAAg6+MJkqGNE/AAAAABgAAAD8/AD8AAIAAAAAAADwvwLnjCjtDb76vwI7kst/SL8MQAAAAAAYAAAA/PwA/AACAAAAAAAA8L8Cd08eFmpNBcACOPjCZKpgCkAAAAAAASUABAQAAAAAAAAAFAQAAAAAAAAECAQAAAAAAAAIDAQAAAAAAAAMEAQAAAAAAAAMAS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0BHgQAAAAAAAAAAAAA</t>
        </r>
      </text>
    </comment>
    <comment ref="A46" authorId="0" shapeId="0" xr:uid="{516F94BF-C701-42BB-961A-ED0DD8619577}">
      <text>
        <r>
          <rPr>
            <sz val="9"/>
            <color indexed="81"/>
            <rFont val="Segoe UI"/>
            <charset val="1"/>
          </rPr>
          <t>Insight iXlW00001C0000046R0279761703S00000090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w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BEAAAAPz8APwAAgAAAAAAAPC/ArHh6ZWyDOO/Apjdk4eFWvA/AAAAABgAAAD8/AD8AAIAAAAAAADwvwKMbOf7qfHkPwIcDeAtkKD9PwAAAAAYAAAA/PwA/AACAAAAAAAA8L8CwcqhRbbz4T8CJ8KGp1fKCkAAAAAAGAAAAPz8APwAAgAAAAAAAPC/Ag3gLZCg+Pw/AtiBc0aUthBAAAAAABgAAAD8/AD8AAIAAAAAAADwvwIJrBxaZDsJQAKhibDh6RUMQAAAAAAYAAAA/PwA/AACAAAAAAAA8L8CexSuR+H6CUACQKTfvg4cAEAAAAAAGAAAAPz8APwAAgAAAAAAAPC/Akku/yH99v8/Av0Yc9cS8vI/AAAAABgAAAD8/AD8AAIAAAAAAADwvwJeS8gHPZsDQAKgq63YX3bPvwAAAAAYAAAA/PwA/AACAAAAAAAA8L8CRiV1ApoI6b8C/7J78rAQEEAAAAAAASQ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AAAAA=</t>
        </r>
      </text>
    </comment>
    <comment ref="A47" authorId="0" shapeId="0" xr:uid="{F8A2B6FB-96BE-4A9A-95AC-4845D71D7D5A}">
      <text>
        <r>
          <rPr>
            <sz val="9"/>
            <color indexed="81"/>
            <rFont val="Segoe UI"/>
            <charset val="1"/>
          </rPr>
          <t>Insight iXlW00001C0000047R0279761703S00000092P02220LAocjBAQBF1NjaVRlZ2ljLmRhdGEuTW9sZWN1bGUBbQF/ARJTY2lUZWdpYy5Nb2xlY3VsZQAAAQFkAv5qAQAAAAIAAgEfGAAAAPz8APwAAgAAAAAAAPC/AvRsVn2uNhBAAtnO91PjpQfAAAAAABgAAAD8/AD8AAIAAAAAAADwvwLA7J48LNQNQAIf9GxWfa4RwAAAAAAcAAAA/PwA/AACAAAAAAAA8L8C/Knx0k1iAkACB/AWSFB8E8AAAAAAGAAAAPz8APwAAgAAAAAAAPC/AsKopE5AE/M/Ane+nxov3Q7AAAAAABgAAAD8/AD8AAIAAAAAAADwvwKi1jTvOEX4PwLZzvdT4yUDwAAAAAAcAAAA/PwA/AACAAAAAAAA8L8CFa5H4XqUB0AChlrTvOMU/78AAAAAGAAAAPz8APwAAgAAAAAAAPC/Aj2bVZ+rLQpAAintDb4wmd6/AAAAACAAAAD8/AD8AAIAAAAAAADwvwIBb4EExc8SQAJgB84ZUdqbvwAAAAAYAAAA/PwA/AACAAAAAAAA8L8Cam/whclUAUACxY8xdy0h4T8AAAAAGAAAAPz8APwAAgAAAAAAAPC/Ao0o7Q2+sAJAAr8OnDOiNABAAAAAABgAAAD8/AD8AAIAAAAAAADwvwIv/yH99nUMQAKyv+yePCwHQAAAAAAYAAAA/PwA/AACAAAAAAAA8L8C5YOezapPC0ACOwFNhA2PEUAAAAAAGAAAAPz8APwAAgAAAAAAAPC/AjEIrBxaZABAAiNKe4MvDBRAAAAAABgAAAD8/AD8AAIAAAAAAADwvwIiH/RsVn3qPwKOBvAWSJAQQAAAAAAYAAAA/PwA/AACAAAAAAAA8L8CaLPqc7UV7z8CWMoyxLEuBUAAAAAAHAAAAPz8APwAAgAAAAAAAPC/Ahsv3SQGgaW/Agg9m1Wfq/g/AAAAABgAAAD8/AD8AAIAAAAAAADwvwIUP8bctYT4vwJPr5RliGP7PwAAAAAYAAAA/PwA/AACAAAAAAAA8L8CveMUHcllA8AC4C2QoPgx4D8AAAAAGAAAAPz8APwAAgAAAAAAAPC/AlK4HoXrUQ/AAm8Sg8DKoeU/AAAAABgAAAD8/AD8AAIAAAAAAADwvwJ3Tx4Wag0SwAIooImw4WkAQAAAAAAYAAAA/PwA/AACAAAAAAAA8L8CggTFjzH3DMACV+wvuycPCkAAAAAAGAAAAPz8APwAAgAAAAAAAPC/Au0vuycPCwHAAjQzMzMzswhAAAAAABgAAAD8/AD8AAIAAAAAAADwvwJ9PzVeuknmPwKKH2PuWkLOPwAAAAAgAAAA/PwA/AACAAAAAAAA8L8Cz4jS3uALsz8CdZMYBFYO8r8AAAAAGAAAAPz8APwAAgAAAAAAAPC/AvtcbcX+sva/AgmKH2PuWvS/AAAAABgAAAD8/AD8AAIAAAAAAADwvwIWak3zjlMAwAK4QILixxgFwAAAAAAYAAAA/PwA/AACAAAAAAAA8L8C2qz6XG1FDMACArwFEhQ/BsAAAAAAGAAAAPz8APwAAgAAAAAAAPC/AgOaCBuenhHAAsHKoUW28/i/AAAAABgAAAD8/AD8AAIAAAAAAADwvwJteHqlLEMOwALVmuYdp+jIvwAAAAAYAAAA/PwA/AACAAAAAAAA8L8CqTXNO05RAsAC6iYxCKwcqr8AAAAAJAAAAPz8APwAAgAAAAAAAPC/Alafq63YnxDAAtsbfGEylRD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oBHgQAAAAAAAABGwEcBAAAAAAAAAEcAR0ICAAAAAAAAAAAAA==</t>
        </r>
      </text>
    </comment>
    <comment ref="A48" authorId="0" shapeId="0" xr:uid="{4A68556E-26CA-40DE-9416-6646BAF405A7}">
      <text>
        <r>
          <rPr>
            <sz val="9"/>
            <color indexed="81"/>
            <rFont val="Segoe UI"/>
            <charset val="1"/>
          </rPr>
          <t>Insight iXlW00001C0000048R0279761703S00000094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Bg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49" authorId="0" shapeId="0" xr:uid="{0D81E11A-716D-4254-AE32-3E23C7156CC9}">
      <text>
        <r>
          <rPr>
            <sz val="9"/>
            <color indexed="81"/>
            <rFont val="Segoe UI"/>
            <charset val="1"/>
          </rPr>
          <t>Insight iXlW00001C0000049R0279761703S00000096P02624LAocjBAQBF1NjaVRlZ2ljLmRhdGEuTW9sZWN1bGUBbQF/ARJTY2lUZWdpYy5Nb2xlY3VsZQAAAQFkAv5qAQAAAAIAAgElGAAAAPz8APwAAgAAAAAAAPC/AjtwzojS3vy/Au7rwDkjShHAAAAAABgAAAD8/AD8AAIAAAAAAADwvwIxmSoYlVQKwAIc6+I2GoAQwAAAAAAcAAAA/PwA/AACAAAAAAAA8L8Ct/P91HjpDsACDXGsi9voBcAAAAAAGAAAAPz8APwAAgAAAAAAAPC/ArhAguLHmAfAAgkbnl4py/i/AAAAABgAAAD8/AD8AAIAAAAAAADwvwJJv30dOGf3vwJQHhZqTfP7vwAAAAAcAAAA/PwA/AACAAAAAAAA8L8CexSuR+F67L8CVHQkl/8QCcAAAAAAGAAAAPz8APwAAgAAAAAAAPC/AtJvXwfOGeM/Avd14JwRpQrAAAAAACAAAAD8/AD8AAIAAAAAAADwvwL0bFZ9rrbyPwKS7Xw/Nd4SwAAAAAAYAAAA/PwA/AACAAAAAAAA8L8C5x2n6Egu+D8CNjy9UpYhAcAAAAAAGAAAAPz8APwAAgAAAAAAAPC/AqCJsOHpFQhAAkymCkYldQHAAAAAABwAAAD8/AD8AAIAAAAAAADwvwIDmggbnt4PQAL0jlN0JJcKwAAAAAAYAAAA/PwA/AACAAAAAAAA8L8CoImw4enVFUACmUwVjEpqCMAAAAAAGAAAAPz8APwAAgAAAAAAAPC/AvLSTWIQ2BdAAp7vp8ZLN/q/AAAAABgAAAD8/AD8AAIAAAAAAADwvwLByqFFtvMTQAI+eVioNc3fvwAAAAAYAAAA/PwA/AACAAAAAAAA8L8CfPKwUGsaDEACC0YldQKa6L8AAAAAHAAAAPz8APwAAgAAAAAAAPC/Aru4jQbwlgJAAsIXJlMFo8I/AAAAABgAAAD8/AD8AAIAAAAAAADwvwLRItv5fuoCQAJSuB6F61H6PwAAAAAYAAAA/PwA/AACAAAAAAAA8L8CGlHaG3xh8T8CqRPQRNhwA0AAAAAAGAAAAPz8APwAAgAAAAAAAPC/AkYldQKaCPI/AlYOLbKdbw9AAAAAABgAAAD8/AD8AAIAAAAAAADwvwL99nXgnJEDQALek4eFWpMSQAAAAAAYAAAA/PwA/AACAAAAAAAA8L8CCRueXinLDUACdEaU9gbfDkAAAAAAGAAAAPz8APwAAgAAAAAAAPC/AiuHFtnOdw1AAo51cRsN4AJAAAAAABgAAAD8/AD8AAIAAAAAAADwvwLeAgmKH2PxPwIhH/RsVn3mvwAAAAAgAAAA/PwA/AACAAAAAAAA8L8CmUwVjErq1L8CVVInoImwyb8AAAAAGAAAAPz8APwAAgAAAAAAAPC/AtZW7C+7J+O/AjEIrBxaZPQ/AAAAABgAAAD8/AD8AAIAAAAAAADwvwK4QILixxgAwAJ4LSEf9Gz8PwAAAAAYAAAA/PwA/AACAAAAAAAA8L8CE4PAyqFFAsAC+g/pt68DCkAAAAAAGAAAAPz8APwAAgAAAAAAAPC/Atc07zhFR/K/Ai6QoPgx5hBAAAAAABgAAAD8/AD8AAIAAAAAAADwvwK2hHzQs1nRPwK5jQbwFsgNQAAAAAAYAAAA/PwA/AACAAAAAAAA8L8Cx0s3iUFg4T8CexSuR+H6AUAAAAAAGAAAAPz8APwAAgAAAAAAAPC/AkVpb/CFSQBAAuELk6mC0QBAAAAAABgAAAD8/AD8AAIAAAAAAADwvwJfKcsQxzoJwAJmGeJYF7fpPwAAAAAYAAAA/PwA/AACAAAAAAAA8L8CPZtVn6stDMACiIVa07zjxL8AAAAAGAAAAPz8APwAAgAAAAAAAPC/Aih+jLlrCRTAAr1SliGOdaE/AAAAABwAAAD8/AD8AAIAAAAAAADwvwJrK/aX3VMWwALufD81Xrr2PwAAAAAYAAAA/PwA/AACAAAAAAAA8L8C9dvXgXNGHMACNYC3QILi+T8AAAAAIAAAAPz8APwAAgAAAAAAAPC/AqhXyjLEsRfAAnsUrkfhevK/AAAAAAEpAAQEAAAAAAAAABQEAAAAAAAABAgEAAAAAAAACAwEAAAAAAAADBAEAAAAAAAADAEg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BIQEiBAAAAAAAAAEhASQIAAAAAAAAASIBIwQAAAAAAAAAAAAA</t>
        </r>
      </text>
    </comment>
    <comment ref="A50" authorId="0" shapeId="0" xr:uid="{58DB79F4-E186-49C4-98FE-E6962609C0BB}">
      <text>
        <r>
          <rPr>
            <sz val="9"/>
            <color indexed="81"/>
            <rFont val="Segoe UI"/>
            <charset val="1"/>
          </rPr>
          <t>Insight iXlW00001C0000050R0279761703S00000098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Y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BEAAAAPz8APwAAgAAAAAAAPC/Ah3r4jYawN+/At4CCYofY/A/AAAAABgAAAD8/AD8AAIAAAAAAADwvwLgvg6cM6LoPwJteHqlLEP9PwAAAAAYAAAA/PwA/AACAAAAAAAA8L8C63O1FfvLAEACKVyPwvUo8j8AAAAAGAAAAPz8APwAAgAAAAAAAPC/AgeBlUOL7ApAArjRAN4CCf8/AAAAABgAAAD8/AD8AAIAAAAAAADwvwK38/3UeGkKQAL9h/Tb14ELQAAAAAAYAAAA/PwA/AACAAAAAAAA8L8CB1+YTBWM/z8CDwu1pnmHEEAAAAAAGAAAAPz8APwAAgAAAAAAAPC/AqCJsOHpleY/Alhbsb/sngpAAAAAABgAAAD8/AD8AAIAAAAAAADwvwIN4C2QoPjjvwK9dJMYBBYQQAAAAAABIw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QEeBAAAAAAAAAAAAAA=</t>
        </r>
      </text>
    </comment>
    <comment ref="A51" authorId="0" shapeId="0" xr:uid="{1A5A5A84-CB2D-46FD-B529-60B97EE1B41C}">
      <text>
        <r>
          <rPr>
            <sz val="9"/>
            <color indexed="81"/>
            <rFont val="Segoe UI"/>
            <charset val="1"/>
          </rPr>
          <t>Insight iXlW00001C0000051R0279761703S00000100P02420LAocjBAQBF1NjaVRlZ2ljLmRhdGEuTW9sZWN1bGUBbQF/ARJTY2lUZWdpYy5Nb2xlY3VsZQAAAQFkAv5qAQAAAAIAAgEiGAAAAPz8APwAAgAAAAAAAPC/AoPix5i7lvy/AkJg5dAimxPAAAAAABgAAAD8/AD8AAIAAAAAAADwvwKyv+yePCwKwALaPXlYqHUUwAAAAAAcAAAA/PwA/AACAAAAAAAA8L8CescpOpLLEMACQMbctYR8D8AAAAAAGAAAAPz8APwAAgAAAAAAAPC/AsWPMXctIQ3AApxVn6utWATAAAAAABgAAAD8/AD8AAIAAAAAAADwvwKOl24Sg0ABwAIzxLEubqMCwAAAAAAcAAAA/PwA/AACAAAAAAAA8L8Cl5APejar878C4E+Nl24SDMAAAAAAGAAAAPz8APwAAgAAAAAAAPC/AmN/2T15WNA/Ane+nxovXQrAAAAAACAAAAD8/AD8AAIAAAAAAADwvwJd/kP67evyPwL2udqK/eURwAAAAAAYAAAA/PwA/AACAAAAAAAA8L8Ca7x0kxgE6j8CppvEILBy/r8AAAAAGAAAAPz8APwAAgAAAAAAAPC/AjPEsS5uIwJAAsUgsHJokfi/AAAAABgAAAD8/AD8AAIAAAAAAADwvwLP91PjpRsMQALYgXNGlPYCwAAAAAAcAAAA/PwA/AACAAAAAAAA8L8CAJF++zpwE0ACLiEf9GxW+78AAAAAGAAAAPz8APwAAgAAAAAAAPC/AkoMAiuH1hNAAopBYOXQIsu/AAAAABgAAAD8/AD8AAIAAAAAAADwvwL45GGh1rQNQAJ0tRX7y+7jPwAAAAAYAAAA/PwA/AACAAAAAAAA8L8Cx7q4jQbwAkACCvmgZ7Pqo78AAAAAHAAAAPz8APwAAgAAAAAAAPC/Ao0o7Q2+MO8/AintDb4wmeA/AAAAABgAAAD8/AD8AAIAAAAAAADwvwLLMsSxLm7jPwLFILByaJH/PwAAAAAYAAAA/PwA/AACAAAAAAAA8L8CjpduEoPA6r8CPL1SliEOA0AAAAAAGAAAAPz8APwAAgAAAAAAAPC/AjcawFsgQfO/AlVSJ6CJsA5AAAAAABgAAAD8/AD8AAIAAAAAAADwvwJjf9k9eVjAvwJKnYAmwoYTQAAAAAAYAAAA/PwA/AACAAAAAAAA8L8CQDVeukkM9T8CwFsgQfHjEUAAAAAAGAAAAPz8APwAAgAAAAAAAPC/ArAD54wo7fo/AmgibHh6JQhAAAAAABgAAAD8/AD8AAIAAAAAAADwvwIAIv32deCMPwIxKqkT0ETkvwAAAAAgAAAA/PwA/AACAAAAAAAA8L8CKssQx7q4978C30+Nl24S4b8AAAAAGAAAAPz8APwAAgAAAAAAAPC/AtZW7C+7JwHAAuJYF7fRAOo/AAAAABgAAAD8/AD8AAIAAAAAAADwvwLByqFFtvP0vwLVCWgibHgAQAAAAAAYAAAA/PwA/AACAAAAAAAA8L8CQ61p3nGK/78CBTQRNjw9C0AAAAAAGAAAAPz8APwAAgAAAAAAAPC/AiBj7lpCvgvAAtIA3gIJCgxAAAAAABgAAAD8/AD8AAIAAAAAAADwvwJL6gQ0ETYRwAI2zTtO0RECQAAAAAAYAAAA/PwA/AACAAAAAAAA8L8CVOOlm8QgDcACFoxK6gQ07T8AAAAAGAAAAPz8APwAAgAAAAAAAPC/AmWqYFRS5xHAAraEfNCzWdW/AAAAACQAAAD8/AD8AAIAAAAAAADwvwJYyjLEsS7yvwLRs1n1uZoSQAAAAAAgAAAA/PwA/AACAAAAAAAA8L8CYqHWNO84GUACRWlv8IXJ3D8AAAAAGAAAAPz8APwAAgAAAAAAAPC/AjC7Jw8LNR5AAmgibHh6pdi/AAAAAAEm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SABIQQAAAAAAAAAAAAA</t>
        </r>
      </text>
    </comment>
    <comment ref="A52" authorId="0" shapeId="0" xr:uid="{DF31A1CE-EB47-4ED1-BD1C-D7B5849098AC}">
      <text>
        <r>
          <rPr>
            <sz val="9"/>
            <color indexed="81"/>
            <rFont val="Segoe UI"/>
            <charset val="1"/>
          </rPr>
          <t>Insight iXlW00001C0000052R0279761703S00000102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wAAAD8/AD8AAIAAAAAAADwvwKL/WX35GH8vwI/V1uxv6wQwAAAAAAY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CQ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53" authorId="0" shapeId="0" xr:uid="{BD120501-154F-4431-A2DC-4F112D5EB73E}">
      <text>
        <r>
          <rPr>
            <sz val="9"/>
            <color indexed="81"/>
            <rFont val="Segoe UI"/>
            <charset val="1"/>
          </rPr>
          <t>Insight iXlW00001C0000053R0279761703S00000104P02488LAocjBAQBF1NjaVRlZ2ljLmRhdGEuTW9sZWN1bGUBbQF/ARJTY2lUZWdpYy5Nb2xlY3VsZQAAAQFkAv5qAQAAAAIAAgEjGAAAAPz8APwAAgAAAAAAAPC/ArTqc7UV+wLAAhgmUwWj0hLAAAAAABgAAAD8/AD8AAIAAAAAAADwvwKqE9BE2PAOwAJX7C+7J08TwAAAAAAcAAAA/PwA/AACAAAAAAAA8L8CbxKDwMrhEsACO5LLf0i/DMAAAAAAGAAAAPz8APwAAgAAAAAAAPC/AlUwKqkTUBDAAhDpt68D5wHAAAAAABgAAAD8/AD8AAIAAAAAAADwvwK1N/jCZKoEwAKSXP5D+u0AwAAAAAAcAAAA/PwA/AACAAAAAAAA8L8Cc/kP6bev+78CPnlYqDXNCsAAAAAAGAAAAPz8APwAAgAAAAAAAPC/Aq7YX3ZPHs6/AsDsnjws1AnAAAAAACAAAAD8/AD8AAIAAAAAAADwvwLD9Shcj8LjPwK2hHzQs9kRwAAAAAAYAAAA/PwA/AACAAAAAAAA8L8CfIMvTKYK2j8CK4cW2c73/b8AAAAAGAAAAPz8APwAAgAAAAAAAPC/AvAWSFD8GP4/Ag5Pr5RliPm/AAAAABwAAAD8/AD8AAIAAAAAAADwvwJKDAIrh5YIQAIHX5hMFQwEwAAAAAAYAAAA/PwA/AACAAAAAAAA8L8Cam/whcnUEUAC71pCPujZ/r8AAAAAGAAAAPz8APwAAgAAAAAAAPC/AkXY8PRKmRJAAv7UeOkmMdy/AAAAABgAAAD8/AD8AAIAAAAAAADwvwK4rwPnjKgLQAJANV66SQzePwAAAAAYAAAA/PwA/AACAAAAAAAA8L8CL90kBoGVAEAC6pWyDHGsu78AAAAAHAAAAPz8APwAAgAAAAAAAPC/AhTQRNjw9OY/AixlGeJYF+E/AAAAABgAAAD8/AD8AAIAAAAAAADwvwKyv+yePCzcPwIbnl4pyxAAQAAAAAAYAAAA/PwA/AACAAAAAAAA8L8CNDMzMzMz778CtFn1udoKBEAAAAAAGAAAAPz8APwAAgAAAAAAAPC/ArfRAN4CCfS/AoSezarP1Q9AAAAAABgAAAD8/AD8AAIAAAAAAADwvwLrBDQRNjy9vwIWak3zjtMTQAAAAAAYAAAA/PwA/AACAAAAAAAA8L8CqTXNO07R9D8CZvfkYaHWEUAAAAAAGAAAAPz8APwAAgAAAAAAAPC/AsZtNIC3QPk/AsTTK2UZ4gdAAAAAABgAAAD8/AD8AAIAAAAAAADwvwK06nO1FfvTvwLG3LWEfNDhvwAAAAAgAAAA/PwA/AACAAAAAAAA8L8CXCBB8WPM/L8C1CtlGeJY178AAAAAGAAAAPz8APwAAgAAAAAAAPC/Ar7BFyZTBQPAAh1aZDvfT/A/AAAAABgAAAD8/AD8AAIAAAAAAADwvwJ7FK5H4Xr3vwIZBFYOLbIBQAAAAAAYAAAA/PwA/AACAAAAAAAA8L8CzTtO0ZFcAMACotY07zjFDEAAAAAAGAAAAPz8APwAAgAAAAAAAPC/Am14eqUsQwzAAlmoNc07Tg5AAAAAABgAAAD8/AD8AAIAAAAAAADwvwL2l92Th8URwAKHp1fKMsQEQAAAAAAYAAAA/PwA/AACAAAAAAAA8L8CXf5D+u3rDsACi/1l9+Rh8z8AAAAAGAAAAPz8APwAAgAAAAAAAPC/Au9aQj7oGRPAAtv5fmq8dJM/AAAAABgAAAD8/AD8AAIAAAAAAADwvwLHuriNBvCWPwKgibDh6RUDQAAAAAAgAAAA/PwA/AACAAAAAAAA8L8CpixDHOsiGEACeAskKH6MwT8AAAAAGAAAAPz8APwAAgAAAAAAAPC/Ag8tsp3v5xxAAkGC4seYu+i/AAAAABgAAAD8/AD8AAIAAAAAAADwvwIqyxDHujghQAKPU3Qkl//IvwAAAAABJwAEBAAAAAAAAAAUBAAAAAAAAAQIBAAAAAAAAAgMBAAAAAAAAAwQBAAAAAAAABAUBAAAAAAAABQYBAAAAAAAABgcCAAAAAAAABggBAAAAAAAACAkBAAAAAAAACABFggMAAAAAAAkKAgMAAAAAAAkOAQAAAAAAAAoLAQAAAAAAAAsMAgIAAAAAAAwNAQAAAAAAAAwASA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EgASEEAAAAAAAAASEBIgQAAAAAAAAAAAAA</t>
        </r>
      </text>
    </comment>
    <comment ref="A54" authorId="0" shapeId="0" xr:uid="{B2B5A2E4-6663-45BE-B436-02F121537E48}">
      <text>
        <r>
          <rPr>
            <sz val="9"/>
            <color indexed="81"/>
            <rFont val="Segoe UI"/>
            <charset val="1"/>
          </rPr>
          <t>Insight iXlW00001C0000054R0279761703S00000106P02352LAocjBAQBF1NjaVRlZ2ljLmRhdGEuTW9sZWN1bGUBbQF/ARJTY2lUZWdpYy5Nb2xlY3VsZQAAAQFkAv5qAQAAAAIAAgEhGAAAAPz8APwAAgAAAAAAAPC/AsUgsHJoERDAAsWPMXctIQnAAAAAABgAAAD8/AD8AAIAAAAAAADwvwLswDkjSnsVwALb+X5qvPQDwAAAAAAcAAAA/PwA/AACAAAAAAAA8L8CwoanV8ryFcACK4cW2c73778AAAAAGAAAAPz8APwAAgAAAAAAAPC/AlXBqKROABHAAs1dS8gHPcO/AAAAABgAAAD8/AD8AAIAAAAAAADwvwJbQj7o2SwHwAI51sVtNIDpvwAAAAAcAAAA/PwA/AACAAAAAAAA8L8Cr7Zif9k9BsACn82qz9VWAsAAAAAAGAAAAPz8APwAAgAAAAAAAPC/AsDsnjws1Pa/AoljXdxGgwfAAAAAACAAAAD8/AD8AAIAAAAAAADwvwJn1edqK/b0vwKwcmiR7bwRwAAAAAAYAAAA/PwA/AACAAAAAAAA8L8CUrgehetRyL8CYqHWNO+4AMAAAAAAGAAAAPz8APwAAgAAAAAAAPC/Amsr9pfdk/M/AiPb+X5qvATAAAAAABgAAAD8/AD8AAIAAAAAAADwvwI7kst/SL/8PwLek4eFWtMPwAAAAAAcAAAA/PwA/AACAAAAAAAA8L8CaQBvgQRFCkACMzMzMzOzEMAAAAAAGAAAAPz8APwAAgAAAAAAAPC/AkOtad5xyhBAAjWAt0CC4gfAAAAAABgAAAD8/AD8AAIAAAAAAADwvwIep+hILv8MQAL0jlN0JJf5vwAAAAAYAAAA/PwA/AACAAAAAAAA8L8CmpmZmZkZAUAC4umVsgxx9r8AAAAAHAAAAPz8APwAAgAAAAAAAPC/Alhbsb/snvQ/AmKh1jTvOMW/AAAAABgAAAD8/AD8AAIAAAAAAADwvwLZzvdT46X8PwJJLv8h/fbzPwAAAAAYAAAA/PwA/AACAAAAAAAA8L8Cofgx5q4l6j8CIv32deAcA0AAAAAAGAAAAPz8APwAAgAAAAAAAPC/AmHD0ytlGfU/Al3+Q/rtaw5AAAAAABgAAAD8/AD8AAIAAAAAAADwvwK2hHzQs1kGQALpt68D50wQQAAAAAAYAAAA/PwA/AACAAAAAAAA8L8C++3rwDkjDkAC1QloImx4B0AAAAAAGAAAAPz8APwAAgAAAAAAAPC/Ajq0yHa+HwpAAjQRNjy9Uvg/AAAAABgAAAD8/AD8AAIAAAAAAADwvwKaCBueXinDvwLUmuYdp+jivwAAAAAgAAAA/PwA/AACAAAAAAAA8L8Cdy0hH/Rs9b8CPZtVn6ut1D8AAAAAGAAAAPz8APwAAgAAAAAAAPC/AmaIY13cRvK/AmfV52or9vw/AAAAABgAAAD8/AD8AAIAAAAAAADwvwKegCbChqcCwALQRNjw9MoFQAAAAAAYAAAA/PwA/AACAAAAAAAA8L8CFa5H4XoUAcACDr4wmSrYEEAAAAAAGAAAAPz8APwAAgAAAAAAAPC/AoV80LNZ9ee/AsIXJlMFIxNAAAAAABgAAAD8/AD8AAIAAAAAAADwvwKHONbFbTTcPwJn1edqK/YOQAAAAAAYAAAA/PwA/AACAAAAAAAA8L8CgEi/fR04zz8CG55eKcsQA0AAAAAAGAAAAPz8APwAAgAAAAAAAPC/AvJBz2bV5/k/AgdfmEwVjPw/AAAAABgAAAD8/AD8AAIAAAAAAADwvwJYObTIdr4NwAJpke18PzUBQAAAAAAgAAAA/PwA/AACAAAAAAAA8L8C6Ugu/yG9FkACvlKWIY51CcAAAAAAASUABAQAAAAAAAAAFAQAAAAAAAAECAQAAAAAAAAIDAQAAAAAAAAMEAQAAAAAAAAQFAQAAAAAAAAUGAQAAAAAAAAYHAgAAAAAAAAYIAQAAAAAAAAgJAQAAAAAAAAgARYIDAAAAAAAJCgIDAAAAAAAJDgEAAAAAAAAKCwEAAAAAAAALDAEAAAAAAAAMDQEAAAAAAAAMAEgCAAAAAAAADQ4CAgAAAAAADg8BAAAAAAAADwBEAQAAAAAAAA8ARYEAAAAAAAAARABEQQAAAAAAAABEAEVBAAAAAAAAAERARIEAAAAAAAAARIBEwQAAAAAAAABEwEUBAAAAAAAAAEUARUEAAAAAAAAARYBFwQAAAAAAAABFwEYBAAAAAAAAAEYARkIDAAAAAAAARgBHQQAAAAAAAABGQEaBAAAAAAAAAEZAR8EAAAAAAAAARoBGwgIAAAAAAABGwEcBAAAAAAAAAEcAR0ICAAAAAAAAR0BHgQAAAAAAAAAAAAA</t>
        </r>
      </text>
    </comment>
    <comment ref="A55" authorId="0" shapeId="0" xr:uid="{9EB8BAD0-DAAE-4123-A965-378CA992FCB6}">
      <text>
        <r>
          <rPr>
            <sz val="9"/>
            <color indexed="81"/>
            <rFont val="Segoe UI"/>
            <charset val="1"/>
          </rPr>
          <t>Insight iXlW00001C0000055R0279761703S00000108P02352LAocjBAQBF1NjaVRlZ2ljLmRhdGEuTW9sZWN1bGUBbQF/ARJTY2lUZWdpYy5Nb2xlY3VsZQAAAQFkAv5qAQAAAAIAAgEhGAAAAPz8APwAAgAAAAAAAPC/AtEi2/l+qhPAAuM2GsBbIOO/AAAAABgAAAD8/AD8AAIAAAAAAADwvwJ+HThnRKkWwAIRWDm0yHbmPwAAAAAcAAAA/PwA/AACAAAAAAAA8L8CKxiV1AmoE8ACqoJRSZ0AAEAAAAAAGAAAAPz8APwAAgAAAAAAAPC/AlYwKqkTUAvAAiWX/5B++/8/AAAAABgAAAD8/AD8AAIAAAAAAADwvwL8OnDOiFIFwAJWn6ut2F/mPwAAAAAcAAAA/PwA/AACAAAAAAAA8L8CokW28/1UC8ACI2x4eqUs478AAAAAGAAAAPz8APwAAgAAAAAAAPC/AoEmwoanVwXAAov9ZffkYf6/AAAAACAAAAD8/AD8AAIAAAAAAADwvwInMQisHFoLwAJrK/aX3ZMJwAAAAAAYAAAA/PwA/AACAAAAAAAA8L8CAU2EDU+v8r8CumsJ+aBn/r8AAAAAGAAAAPz8APwAAgAAAAAAAPC/AhpR2ht8YdK/AkLPZtXn6gjAAAAAABwAAAD8/AD8AAIAAAAAAADwvwKe76fGSzfjvwIWak3zjlMSwAAAAAAYAAAA/PwA/AACAAAAAAAA8L8Cdy0hH/Rs4D8CY3/ZPXlYFsAAAAAAGAAAAPz8APwAAgAAAAAAAPC/Al7cRgN4C/8/Ah6n6EgufxTAAAAAABgAAAD8/AD8AAIAAAAAAADwvwK7SQwCKwcCQAJSSZ2AJkINwAAAAAAYAAAA/PwA/AACAAAAAAAA8L8CXLG/7J488j8CuR6F61E4BcAAAAAAHAAAAPz8APwAAgAAAAAAAPC/AoofY+5aQvI/AnE9CtejcPK/AAAAABgAAAD8/AD8AAIAAAAAAADwvwIqqRPQRNgCQAKcxCCwcmjRvwAAAAAYAAAA/PwA/AACAAAAAAAA8L8CC0YldQKaAUACFD/G3LWE8z8AAAAAGAAAAPz8APwAAgAAAAAAAPC/AnBfB84ZUQtAAuj7qfHSzQBAAAAAABgAAAD8/AD8AAIAAAAAAADwvwLeAgmKHyMTQALek4eFWtP3PwAAAAAYAAAA/PwA/AACAAAAAAAA8L8CbjSAt0DCE0AC4ZwRpb3BZ78AAAAAGAAAAPz8APwAAgAAAAAAAPC/AndPHhZqzQ1AAjEqqRPQROy/AAAAABgAAAD8/AD8AAIAAAAAAADwvwJ5WKg1zTvSvwLiWBe30QDmvwAAAAAgAAAA/PwA/AACAAAAAAAA8L8CY+5aQj7o578CYjJVMCqp5z8AAAAAGAAAAPz8APwAAgAAAAAAAPC/Aj/G3LWEfNA/Akt7gy9Mpv0/AAAAABgAAAD8/AD8AAIAAAAAAADwvwKUGARWDi3KvwKvtmJ/2T0KQAAAAAAYAAAA/PwA/AACAAAAAAAA8L8CXkvIBz2b6T8C3pOHhVqTEUAAAAAAGAAAAPz8APwAAgAAAAAAAPC/Avvt68A5IwJAAhgmUwWjUhBAAAAAABgAAAD8/AD8AAIAAAAAAADwvwJMyAc9m9UFQAImUwWjkjoFQAAAAAAYAAAA/PwA/AACAAAAAAAA8L8C1udqK/aX+z8CM8SxLm6j+D8AAAAAGAAAAPz8APwAAgAAAAAAAPC/AmgibHh6JQRAAg6+MJkqGNE/AAAAABgAAAD8/AD8AAIAAAAAAADwvwLnjCjtDb76vwI7kst/SL8MQAAAAAAYAAAA/PwA/AACAAAAAAAA8L8Cd08eFmpNBcACOPjCZKpgCkAAAAAAASUABAQAAAAAAAAAFAQAAAAAAAAECAQAAAAAAAAIDAQAAAAAAAAMEAQAAAAAAAAMASAEAAAAAAAAEBQEAAAAAAAAFBgEAAAAAAAAGBwIAAAAAAAAGCAEAAAAAAAAICQEAAAAAAAAIAEWCAwAAAAAACQoCAwAAAAAACQ4BAAAAAAAACgsBAAAAAAAACwwCAgAAAAAADA0BAAAAAAAADQ4CAgAAAAAADg8BAAAAAAAADwBEAQAAAAAAAA8ARYEAAAAAAAAARABEQQAAAAAAAABEAEVBAAAAAAAAAERARIEAAAAAAAAARIBEwQAAAAAAAABEwEUBAAAAAAAAAEUARUEAAAAAAAAARYBFwQAAAAAAAABFwEYBAAAAAAAAAEYARkIDAAAAAAAARgBHQQAAAAAAAABGQEaBAAAAAAAAAEZAR8EAAAAAAAAARoBGwgIAAAAAAABGwEcBAAAAAAAAAEcAR0ICAAAAAAAAR0BHgQAAAAAAAAAAAAA</t>
        </r>
      </text>
    </comment>
    <comment ref="A56" authorId="0" shapeId="0" xr:uid="{5BA341F5-600E-46A8-80BF-820CB0A86E3B}">
      <text>
        <r>
          <rPr>
            <sz val="9"/>
            <color indexed="81"/>
            <rFont val="Segoe UI"/>
            <charset val="1"/>
          </rPr>
          <t>Insight iXlW00001C0000056R0279761703S00000110P02352LAocjBAQBF1NjaVRlZ2ljLmRhdGEuTW9sZWN1bGUBbQF/ARJTY2lUZWdpYy5Nb2xlY3VsZQAAAQFkAv5qAQAAAAIAAgEhGAAAAPz8APwAAgAAAAAAAPC/AlK4HoXrUfC/AhiV1Alo4hPAAAAAABgAAAD8/AD8AAIAAAAAAADwvwLYEvJBz+YDwALl8h/Sbx8VwAAAAAAcAAAA/PwA/AACAAAAAAAA8L8CQs9m1efqC8ACgNk9eVioEMAAAAAAGAAAAPz8APwAAgAAAAAAAPC/Asb+snvyMAjAApzEILBy6AXAAAAAABgAAAD8/AD8AAIAAAAAAADwvwIukKD4Meb4vwI830+Nl24DwAAAAAAcAAAA/PwA/AACAAAAAAAA8L8Csi5uowG84b8CBhIUP8ZcDMAAAAAAGAAAAPz8APwAAgAAAAAAAPC/AgmsHFpkO+0/AqYsQxzr4gnAAAAAACAAAAD8/AD8AAIAAAAAAADwvwJoImx4eqX+PwK4rwPnjGgRwAAAAAAYAAAA/PwA/AACAAAAAAAA8L8C/fZ14JwR9j8ChXzQs1n1/L8AAAAAGAAAAPz8APwAAgAAAAAAAPC/AvmgZ7PqcwZAAtzXgXNGlPW/AAAAABgAAAD8/AD8AAIAAAAAAADwvwJCz2bV52oQQAJZqDXNO84AwAAAAAAYAAAA/PwA/AACAAAAAAAA8L8CysNCrWmeFUAC93XgnBGl9b8AAAAAGAAAAPz8APwAAgAAAAAAAPC/AnHOiNLeoBVAAkhQ/Bhz18I/AAAAABgAAAD8/AD8AAIAAAAAAADwvwKP5PIf0m8QQAKeXinLEMfsPwAAAAAYAAAA/PwA/AACAAAAAAAA8L8CRrbz/dR4BkACIUHxY8xdwz8AAAAAHAAAAPz8APwAAgAAAAAAAPC/AsWPMXctIfY/AjqSy39Iv+M/AAAAABgAAAD8/AD8AAIAAAAAAADwvwI51sVtNIDtPwIJih9j7loAQAAAAAAYAAAA/PwA/AACAAAAAAAA8L8CrYvbaABv4b8CysNCrWneAkAAAAAAGAAAAPz8APwAAgAAAAAAAPC/AvAWSFD8GPC/An0/NV66SQ5AAAAAABgAAAD8/AD8AAIAAAAAAADwvwJiMlUwKqlDvwKcVZ+rrZgTQAAAAAAYAAAA/PwA/AACAAAAAAAA8L8CTaYKRiV19z8Cu7iNBvBWEkAAAAAAGAAAAPz8APwAAgAAAAAAAPC/AvVKWYY41v4/AvvL7snDQglAAAAAABgAAAD8/AD8AAIAAAAAAADwvwIrhxbZzvffPwIK16NwPQrjvwAAAAAYAAAA/PwA/AACAAAAAAAA8L8CNV66SQwC8L8C2IFzRpT24r8AAAAAGAAAAPz8APwAAgAAAAAAAPC/AvA4RUdy+fu/AobJVMGopOY/AAAAABgAAAD8/AD8AAIAAAAAAADwvwJ4nKIjufwJwAK5HoXrUbjmPwAAAAAYAAAA/PwA/AACAAAAAAAA8L8C1QloImz4D8AChlrTvOMUAEAAAAAAGAAAAPz8APwAAgAAAAAAAPC/AmpN845T9AnAAkku/yH9dgpAAAAAABgAAAD8/AD8AAIAAAAAAADwvwLVmuYdp+j7vwL9GHPXEnIKQAAAAAAYAAAA/PwA/AACAAAAAAAA8L8CUyegibDh778CJQaBlUMLAEAAAAAAJAAAAPz8APwAAgAAAAAAAPC/AusENBE2/BXAAtJvXwfOGQBAAAAAABgAAAD8/AD8AAIAAAAAAADwvwKOl24SgwAQwAJz1xLyQc/ivwAAAAAkAAAA/PwA/AACAAAAAAAA8L8CNe84RUdyEEACqFfKMsQxA0AAAAAAASUABAQAAAAAAAAAFAQAAAAAAAAECAQAAAAAAAAIDAQAAAAAAAAMEAQAAAAAAAAQFAQAAAAAAAAUGAQAAAAAAAAYHAgAAAAAAAAYIAQAAAAAAAAgJAQAAAAAAAAgARYIDAAAAAAAJCgIDAAAAAAAJDgEAAAAAAAAKCwEAAAAAAAALDAICAAAAAAAMDQEAAAAAAAANDgICAAAAAAANAEgBAAAAAAAADg8BAAAAAAAADwBEAQAAAAAAAA8ARYEAAAAAAAAARABEQgMAAAAAAABEAEVBAAAAAAAAAERARIEAAAAAAAAARIBEwgIAAAAAAABEwEUBAAAAAAAAAEUARUICAAAAAAAARYBFwQAAAAAAAABFwEYBAAAAAAAAAEYARkIDAAAAAAAARgBHQQAAAAAAAABGQEaBAAAAAAAAAEZAR8EAAAAAAAAARoBGwgIAAAAAAABGgEeBAAAAAAAAAEbARwEAAAAAAAAARwBHQgIAAAAAAAAAAAA</t>
        </r>
      </text>
    </comment>
    <comment ref="A57" authorId="0" shapeId="0" xr:uid="{14A96ECD-E703-4040-828B-1E46B2FD9304}">
      <text>
        <r>
          <rPr>
            <sz val="9"/>
            <color indexed="81"/>
            <rFont val="Segoe UI"/>
            <charset val="1"/>
          </rPr>
          <t>Insight iXlW00001C0000057R0279761703S00000112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w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Y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58" authorId="0" shapeId="0" xr:uid="{B18D5F1A-7CB3-45FE-AA4A-1D65CB81B8BB}">
      <text>
        <r>
          <rPr>
            <sz val="9"/>
            <color indexed="81"/>
            <rFont val="Segoe UI"/>
            <charset val="1"/>
          </rPr>
          <t>Insight iXlW00001C0000058R0279761703S00000114P02352LAocjBAQBF1NjaVRlZ2ljLmRhdGEuTW9sZWN1bGUBbQF/ARJTY2lUZWdpYy5Nb2xlY3VsZQAAAQFkAv5qAQAAAAIAAgEhGAAAAPz8APwAAgAAAAAAAPC/Ai2yne+nxuO/An/7OnDOCBTAAAAAABgAAAD8/AD8AAIAAAAAAADwvwIxCKwcWmQAwAIT8kHPZtUVwAAAAAAcAAAA/PwA/AACAAAAAAAA8L8CCawcWmQ7CcACLbKd76fGEcAAAAAAGAAAAPz8APwAAgAAAAAAAPC/AnKKjuTynwbAAp/Nqs/V1gfAAAAAABgAAAD8/AD8AAIAAAAAAADwvwKY3ZOHhVr2vwJ24JwRpT0EwAAAAAAcAAAA/PwA/AACAAAAAAAA8L8CqFfKMsSx0r8CQmDl0CJbDMAAAAAAGAAAAPz8APwAAgAAAAAAAPC/AmKh1jTvOPI/Ahlz1xLywQjAAAAAACAAAAD8/AD8AAIAAAAAAADwvwKI9NvXgfMBQAJz+Q/pt28QwAAAAAAYAAAA/PwA/AACAAAAAAAA8L8CAJF++zpw9z8CSgwCK4cW+r8AAAAAGAAAAPz8APwAAgAAAAAAAPC/Au58PzVeugZAAmFUUiegifC/AAAAABgAAAD8/AD8AAIAAAAAAADwvwLDZKpgVNIQQALf4AuTqYL6vwAAAAAcAAAA/PwA/AACAAAAAAAA8L8CvlKWIY61FUAC5x2n6Egu6b8AAAAAGAAAAPz8APwAAgAAAAAAAPC/AoiFWtO8IxVAAgtGJXUCmuY/AAAAABgAAAD8/AD8AAIAAAAAAADwvwJ3vp8aL10PQAITg8DKoUX1PwAAAAAYAAAA/PwA/AACAAAAAAAA8L8Cg+LHmLuWBUACYHZPHhZq3T8AAAAAHAAAAPz8APwAAgAAAAAAAPC/Ah3r4jYawPM/AopBYOXQIuk/AAAAABgAAAD8/AD8AAIAAAAAAADwvwJnZmZmZmbkPwIJG55eKUsBQAAAAAAYAAAA/PwA/AACAAAAAAAA8L8CDJOpglFJ678C097gC5OpAkAAAAAAGAAAAPz8APwAAgAAAAAAAPC/Am+BBMWPMfe/AkETYcPTqw1AAAAAABgAAAD8/AD8AAIAAAAAAADwvwI+eVioNc3hvwLyQc9m1acTQAAAAAAYAAAA/PwA/AACAAAAAAAA8L8CNYC3QILi7T8CDeAtkKD4EkAAAAAAGAAAAPz8APwAAgAAAAAAAPC/AgR4CyQofvg/Aq2L22gA7wpAAAAAABgAAAD8/AD8AAIAAAAAAADwvwKl374OnDPePwLChqdXyjLgvwAAAAAYAAAA/PwA/AACAAAAAAAA8L8CEHo2qz5X8L8CUkmdgCbC5L8AAAAAGAAAAPz8APwAAgAAAAAAAPC/AoofY+5aQv6/AmN/2T15WOI/AAAAABgAAAD8/AD8AAIAAAAAAADwvwJ9PzVeukn0vwLjWBe30QD/PwAAAAAYAAAA/PwA/AACAAAAAAAA8L8CtMh2vp8aAcACZohjXdxGCUAAAAAAGAAAAPz8APwAAgAAAAAAAPC/ArHh6ZWyDA3AAvvt68A5IwhAAAAAABgAAAD8/AD8AAIAAAAAAADwvwLcaABvgQQRwALEQq1p3nH6PwAAAAAYAAAA/PwA/AACAAAAAAAA8L8C+n5qvHQTC8ACp3nHKTqS2z8AAAAAGAAAAPz8APwAAgAAAAAAAPC/AoC3QILiBxDAAqwcWmQ73+2/AAAAACQAAAD8/AD8AAIAAAAAAADwvwJ24JwRpf0WwALtDb4wmSr4PwAAAAAgAAAA/PwA/AACAAAAAAAA8L8CgnNGlPYGGkAC8fRKWYY4+T8AAAAAASUABAQAAAAAAAAAFAQAAAAAAAAECAQAAAAAAAAIDAQAAAAAAAAMEAQAAAAAAAAQFAQAAAAAAAAUGAQAAAAAAAAYHAgAAAAAAAAYIAQAAAAAAAAgJAQAAAAAAAAgARYIDAAAAAAAJCgIDAAAAAAAJDgEAAAAAAAAKCwEAAAAAAAALDAEAAAAAAAAMDQEAAAAAAAAMAEgCAAAAAAAADQ4CAgAAAAAADg8BAAAAAAAADwBEAQAAAAAAAA8ARYEAAAAAAAAARABEQgMAAAAAAABEAEVBAAAAAAAAAERARIEAAAAAAAAARIBEwgIAAAAAAABEwEUBAAAAAAAAAEUARUICAAAAAAAARYBFwQAAAAAAAABFwEYBAAAAAAAAAEYARkIDAAAAAAAARgBHQQAAAAAAAABGQEaBAAAAAAAAAEaARsICAAAAAAAARsBHAQAAAAAAAABHAEdCAgAAAAAAAEcAR8EAAAAAAAAAR0BHgQAAAAAAAAAAAAA</t>
        </r>
      </text>
    </comment>
    <comment ref="A59" authorId="0" shapeId="0" xr:uid="{AE4D79EB-4894-4D06-98B0-107E82CE543C}">
      <text>
        <r>
          <rPr>
            <sz val="9"/>
            <color indexed="81"/>
            <rFont val="Segoe UI"/>
            <charset val="1"/>
          </rPr>
          <t>Insight iXlW00001C0000059R0279761703S00000116P02420LAocjBAQBF1NjaVRlZ2ljLmRhdGEuTW9sZWN1bGUBbQF/ARJTY2lUZWdpYy5Nb2xlY3VsZQAAAQFkAv5qAQAAAAIAAgEiGAAAAPz8APwAAgAAAAAAAPC/AoSezarP1QFAAnIbDeAtEBHAAAAAABgAAAD8/AD8AAIAAAAAAADwvwL5oGez6nP1PwKh+DHmruUVwAAAAAAcAAAA/PwA/AACAAAAAAAA8L8CvJaQD3o2w78CI9v5fmo8FcAAAAAAGAAAAPz8APwAAgAAAAAAAPC/AjNVMCqpE+i/AiWX/5B+ew/AAAAAABgAAAD8/AD8AAIAAAAAAADwvwKti9toAG/BPwKOBvAWSNAFwAAAAAAcAAAA/PwA/AACAAAAAAAA8L8C1XjpJjEI+j8CikFg5dAiB8AAAAAAGAAAAPz8APwAAgAAAAAAAPC/AnKKjuTyHwRAAlYOLbKd7/q/AAAAACAAAAD8/AD8AAIAAAAAAADwvwItsp3vpwYQQALc14FzRpT9vwAAAAAYAAAA/PwA/AACAAAAAAAA8L8CIv32deCc/j8Ci47k8h/S078AAAAAGAAAAPz8APwAAgAAAAAAAPC/ArCUZYhjXQVAAobrUbgehe8/AAAAABgAAAD8/AD8AAIAAAAAAADwvwIfFmpN844QQAJ1ApoIG570PwAAAAAYAAAA/PwA/AACAAAAAAAA8L8CxEKtad5xEkACMzMzMzOzBUAAAAAAGAAAAPz8APwAAgAAAAAAAPC/AkZHcvkP6QxAAgu1pnnHqQ5AAAAAABwAAAD8/AD8AAIAAAAAAADwvwLxhclUwSgBQALrBDQRNjwMQAAAAAAYAAAA/PwA/AACAAAAAAAA8L8CS1mGONbF+j8CufyH9NvXAEAAAAAAHAAAAPz8APwAAgAAAAAAAPC/Al66SQwCK9M/ArHh6ZWyDPg/AAAAABgAAAD8/AD8AAIAAAAAAADwvwJ+rrZif9nvvwIv3SQGgRUCQAAAAAAYAAAA/PwA/AACAAAAAAAA8L8Cayv2l92T778C9wZfmEwVDkAAAAAAGAAAAPz8APwAAgAAAAAAAPC/Ao6XbhKDQALAAqd5xyk6EhJAAAAAABgAAAD8/AD8AAIAAAAAAADwvwI9m1Wfq60MwAKl374OnDMOQAAAAAAYAAAA/PwA/AACAAAAAAAA8L8CArwFEhS/DMACpN++DpwzAkAAAAAAGAAAAPz8APwAAgAAAAAAAPC/AhfZzvdTYwLAApvmHafoSPg/AAAAABgAAAD8/AD8AAIAAAAAAADwvwLxhclUwajcPwKV9gZfmEyFPwAAAAAYAAAA/PwA/AACAAAAAAAA8L8CaERpb/CF5b8CTYQNT6+U778AAAAAGAAAAPz8APwAAgAAAAAAAPC/AhODwMqhxQDAAiEf9GxWfeC/AAAAABgAAAD8/AD8AAIAAAAAAADwvwIzMzMzMzMDwAIUP8bctYTuPwAAAAAYAAAA/PwA/AACAAAAAAAA8L8CZTvfT42XDsACINJvXwfO9j8AAAAAGAAAAPz8APwAAgAAAAAAAPC/Ap5eKcsQxxPAAm1Wfa62Yts/AAAAABgAAAD8/AD8AAIAAAAAAADwvwJyGw3gLZASwAIPLbKd76fwvwAAAAAYAAAA/PwA/AACAAAAAAAA8L8C6wQ0ETa8CcACFoxK6gQ0+L8AAAAAGAAAAPz8APwAAgAAAAAAAPC/ApF++zpwTgfAAmAHzhlR2gfAAAAAACQAAAD8/AD8AAIAAAAAAADwvwJe3EYDeAsXwALKVMGopE4AwAAAAAAYAAAA/PwA/AACAAAAAAAA8L8CJEp7gy+MFEACLPaX3ZOHxT8AAAAAGAAAAPz8APwAAgAAAAAAAPC/AuqVsgxxbBpAAhx8YTJVMN4/AAAAAAEmAAQEAAAAAAAAABQEAAAAAAAABAgEAAAAAAAACAwEAAAAAAAADBAEAAAAAAAAEBQEAAAAAAAAFBgEAAAAAAAAGBwIAAAAAAAAGCAEAAAAAAAAICQEAAAAAAAAIAEWCAwAAAAAACQoCAwAAAAAACQ4BAAAAAAAACgsBAAAAAAAACgBI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SABIQQAAAAAAAAAAAAA</t>
        </r>
      </text>
    </comment>
    <comment ref="A60" authorId="0" shapeId="0" xr:uid="{8A2CE7C6-1BBE-401F-9FF7-EB6F0D7B73E1}">
      <text>
        <r>
          <rPr>
            <sz val="9"/>
            <color indexed="81"/>
            <rFont val="Segoe UI"/>
            <charset val="1"/>
          </rPr>
          <t>Insight iXlW00001C0000060R0279761703S00000118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G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Y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61" authorId="0" shapeId="0" xr:uid="{5AE34CCD-AD15-47CD-A0E8-C5A33C6C7171}">
      <text>
        <r>
          <rPr>
            <sz val="9"/>
            <color indexed="81"/>
            <rFont val="Segoe UI"/>
            <charset val="1"/>
          </rPr>
          <t>Insight iXlW00001C0000061R0279761703S00000120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YAAAA/PwA/AACAAAAAAAA8L8CeXqlLEMc778CxNMrZRmiFcAAAAAAGAAAAPz8APwAAgAAAAAAAPC/Ag0CK4cW2eA/AhwN4C2QYBXAAAAAABw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62" authorId="0" shapeId="0" xr:uid="{C205BEF4-82A4-41A4-B55E-A259AC7B208A}">
      <text>
        <r>
          <rPr>
            <sz val="9"/>
            <color indexed="81"/>
            <rFont val="Segoe UI"/>
            <charset val="1"/>
          </rPr>
          <t>Insight iXlW00001C0000062R0279761703S00000122P02420LAocjBAQBF1NjaVRlZ2ljLmRhdGEuTW9sZWN1bGUBbQF/ARJTY2lUZWdpYy5Nb2xlY3VsZQAAAQFkAv5qAQAAAAIAAgEiGAAAAPz8APwAAgAAAAAAAPC/AkCk374OnOW/AiUGgZVDSxTAAAAAABgAAAD8/AD8AAIAAAAAAADwvwLeAgmKH+MAwAJGJXUCmggWwAAAAAAcAAAA/PwA/AACAAAAAAAA8L8CFR3J5T+kCcACyzLEsS7uEcAAAAAAGAAAAPz8APwAAgAAAAAAAPC/Arfz/dR46QbAAltCPujZLAjAAAAAABgAAAD8/AD8AAIAAAAAAADwvwLRs1n1udr2vwIZBFYOLbIEwAAAAAAcAAAA/PwA/AACAAAAAAAA8L8Ci/1l9+Rh1b8CSb99HTjnDMAAAAAAGAAAAPz8APwAAgAAAAAAAPC/Ajq0yHa+n/E/AgaBlUOLbAnAAAAAACAAAAD8/AD8AAIAAAAAAADwvwKMSuoENJEBQAIbnl4py9AQwAAAAAAYAAAA/PwA/AACAAAAAAAA8L8C9wZfmEwV9z8CCmgibHh6+78AAAAAGAAAAPz8APwAAgAAAAAAAPC/ApqZmZmZmQZAAkcDeAskKPK/AAAAABgAAAD8/AD8AAIAAAAAAADwvwLQ1VbsL7sQQAJ6Nqs+V1v8vwAAAAAcAAAA/PwA/AACAAAAAAAA8L8C1lbsL7unFUACKjqSy39I7b8AAAAAGAAAAPz8APwAAgAAAAAAAPC/Ar3jFB3JJRVAAiUGgZVDi+I/AAAAABgAAAD8/AD8AAIAAAAAAADwvwJ0tRX7y24PQAJGtvP91HjzPwAAAAAYAAAA/PwA/AACAAAAAAAA8L8CaLPqc7WVBUACgnNGlPYG1z8AAAAAHAAAAPz8APwAAgAAAAAAAPC/As3MzMzMzPM/AjzfT42XbuY/AAAAABgAAAD8/AD8AAIAAAAAAADwvwL2KFyPwvXkPwLtDb4wmaoAQAAAAAAYAAAA/PwA/AACAAAAAAAA8L8Cl5APejar6r8C8YXJVMEoAkAAAAAAGAAAAPz8APwAAgAAAAAAAPC/Ap6AJsKGp/a/Ag+cM6K0Nw1AAAAAABgAAAD8/AD8AAIAAAAAAADwvwI0ETY8vVLgvwL5MeauJWQTQAAAAAAYAAAA/PwA/AACAAAAAAAA8L8CWag1zTtO7z8C24r9ZfekEkAAAAAAGAAAAPz8APwAAgAAAAAAAPC/An6MuWsJ+fg/AtDVVuwvOwpAAAAAABgAAAD8/AD8AAIAAAAAAADwvwK0WfW52ordPwJoImx4eqXivwAAAAAgAAAA/PwA/AACAAAAAAAA8L8Cu0kMAiuH8L8CMLsnDwu15r8AAAAAGAAAAPz8APwAAgAAAAAAAPC/AiBj7lpCPv6/Ah/0bFZ9ruA/AAAAABgAAAD8/AD8AAIAAAAAAADwvwJe3EYDeAv0vwKMSuoENBH+PwAAAAAYAAAA/PwA/AACAAAAAAAA8L8CqaROQBPhAMACGlHaG3zhCEAAAAAAGAAAAPz8APwAAgAAAAAAAPC/AvVKWYY41gzAAiFB8WPM3QdAAAAAABgAAAD8/AD8AAIAAAAAAADwvwIrhxbZzvcQwALFsS5uowH6PwAAAAAYAAAA/PwA/AACAAAAAAAA8L8CpAG8BRIUC8ACc2iR7Xw/2T8AAAAAGAAAAPz8APwAAgAAAAAAAPC/Ap/Nqs/VFhDAAt6Th4Va0+6/AAAAACQAAAD8/AD8AAIAAAAAAADwvwI17zhFR/IWwALSkVz+Q/r3PwAAAAAYAAAA/PwA/AACAAAAAAAA8L8CLiEf9GxWxT8Cfh04Z0TpAkAAAAAAIAAAAPz8APwAAgAAAAAAAPC/AsNkqmBUEhpAAnicoiO5/PY/AAAAAAEmAAQEAAAAAAAAABQEAAAAAAAABAgEAAAAAAAACAwEAAAAAAAADBAEAAAAAAAAEBQEAAAAAAAAFBgEAAAAAAAAGBwIAAAAAAAAGCAEAAAAAAAAICQEAAAAAAAAIAEWCAwAAAAAACQoCAwAAAAAACQ4BAAAAAAAACgsBAAAAAAAACwwBAAAAAAAADA0BAAAAAAAADABIQgAAAAAAAA0OAgIAAAAAAA4PAQAAAAAAAA8ARAEAAAAAAAAPAEWBAAAAAAAAAEQAREEAAAAAAAAARABFQQAAAAAAAABEQESBAAAAAAAAAESARMEAAAAAAAAARMBFAQAAAAAAAABFAEVBAAAAAAAAAEWARcEAAAAAAAAARcBGAQAAAAAAAABGAEZCAwAAAAAAAEYAR0EAAAAAAAAARkBGgQAAAAAAAABGQEgBAAAAAAAAAEaARsICAAAAAAAARsBHAQAAAAAAAABHAEdCAgAAAAAAAEcAR8EAAAAAAAAAR0BHgQAAAAAAAAAAAAA</t>
        </r>
      </text>
    </comment>
    <comment ref="A63" authorId="0" shapeId="0" xr:uid="{7176EC90-2DF1-45C0-ADCE-B57921D46BC3}">
      <text>
        <r>
          <rPr>
            <sz val="9"/>
            <color indexed="81"/>
            <rFont val="Segoe UI"/>
            <charset val="1"/>
          </rPr>
          <t>Insight iXlW00001C0000063R0279761703S00000124P02420LAocjBAQBF1NjaVRlZ2ljLmRhdGEuTW9sZWN1bGUBbQF/ARJTY2lUZWdpYy5Nb2xlY3VsZQAAAQFkAv5qAQAAAAIAAgEiGAAAAPz8APwAAgAAAAAAAPC/AjhnRGlv8AHAAj0s1JrmnRLAAAAAABgAAAD8/AD8AAIAAAAAAADwvwIkKH6MuesNwAL9GHPXEvISwAAAAAAcAAAA/PwA/AACAAAAAAAA8L8CduCcEaU9EsAC8tJNYhDYC8AAAAAAGAAAAPz8APwAAgAAAAAAAPC/AsiYu5aQDw/AAjPEsS5uIwHAAAAAABgAAAD8/AD8AAIAAAAAAADwvwLc14FzRhQDwAJ7FK5H4XoAwAAAAAAcAAAA/PwA/AACAAAAAAAA8L8CKH6MuWsJ+b8Cu0kMAiuHCsAAAAAAGAAAAPz8APwAAgAAAAAAAPC/AvT91HjpJrG/AgOaCBue3gnAAAAAACAAAAD8/AD8AAIAAAAAAADwvwJhw9MrZRnoPwKFfNCzWfURwAAAAAAYAAAA/PwA/AACAAAAAAAA8L8C0gDeAgmK4z8CiBbZzvdT/r8AAAAAGAAAAPz8APwAAgAAAAAAAPC/AgisHFpkuwBAAsE5I0p7g/q/AAAAABgAAAD8/AD8AAIAAAAAAADwvwIzVTAqqRMKQAKb5h2n6MgEwAAAAAAcAAAA/PwA/AACAAAAAAAA8L8CGJXUCWiiEkACFNBE2PB0AMAAAAAAGAAAAPz8APwAAgAAAAAAAPC/Ah8Wak3zjhNAAmdmZmZmZuK/AAAAABgAAAD8/AD8AAIAAAAAAADwvwITg8DKocUNQALLMsSxLm7XPwAAAAAYAAAA/PwA/AACAAAAAAAA8L8CFa5H4XqUAkACZ2ZmZmZmxr8AAAAAHAAAAPz8APwAAgAAAAAAAPC/Ald9rrZif+8/AvcGX5hMFeA/AAAAABgAAAD8/AD8AAIAAAAAAADwvwLKw0Ktad7nPwKUh4Va07z/PwAAAAAYAAAA/PwA/AACAAAAAAAA8L8CB/AWSFD85L8C3UYDeAskBEAAAAAAGAAAAPz8APwAAgAAAAAAAPC/ApOpglFJney/AulILv8h/Q9AAAAAABgAAAD8/AD8AAIAAAAAAADwvwJiodY07zjRPwLVeOkmMcgTQAAAAAAYAAAA/PwA/AACAAAAAAAA8L8CQYLix5i7+j8CMEymCkalEUAAAAAAGAAAAPz8APwAAgAAAAAAAPC/AgdfmEwVjP4/Aoxs5/upcQdAAAAAABgAAAD8/AD8AAIAAAAAAADwvwJZF7fRAN6yvwIawFsgQfHhvwAAAAAgAAAA/PwA/AACAAAAAAAA8L8C24r9Zffk+L8C0m9fB84Z1b8AAAAAGAAAAPz8APwAAgAAAAAAAPC/AvXb14FzxgDAAgjOGVHaG/E/AAAAABgAAAD8/AD8AAIAAAAAAADwvwJvEoPAyqEMwAKvJeSDns30PwAAAAAYAAAA/PwA/AACAAAAAAAA8L8Cl/+Qfvt6EMAC1udqK/aXBUAAAAAAGAAAAPz8APwAAgAAAAAAAPC/AnS1FfvLbgnAAgCRfvs68A5AAAAAABgAAAD8/AD8AAIAAAAAAADwvwKDUUmdgCb7vwIsZRniWBcNQAAAAAAYAAAA/PwA/AACAAAAAAAA8L8CdSSX/5B+8r8CLpCg+DHmAUAAAAAAGAAAAPz8APwAAgAAAAAAAPC/AjPEsS5uo9U/AigPC7Wm+QJAAAAAABgAAAD8/AD8AAIAAAAAAADwvwIxmSoYlRQSwALUmuYdp+jAPwAAAAAgAAAA/PwA/AACAAAAAAAA8L8CnoAmwoYnGUACejarPldbob8AAAAAGAAAAPz8APwAAgAAAAAAAPC/AjNVMCqp0x1AAlLaG3xhMu+/AAAAAAEmAAQEAAAAAAAAABQEAAAAAAAABAgEAAAAAAAACAwEAAAAAAAADBAEAAAAAAAAEBQEAAAAAAAAFBgEAAAAAAAAGBwIAAAAAAAAGCAEAAAAAAAAICQEAAAAAAAAIAEWCAwAAAAAACQoCAwAAAAAACQ4BAAAAAAAACgsBAAAAAAAACwwCAgAAAAAADA0BAAAAAAAADABIAQAAAAAAAA0OAgIAAAAAAA4PAQAAAAAAAA8ARAEAAAAAAAAPAEWBAAAAAAAAAEQAREEAAAAAAAAARABFQQAAAAAAAABEQESBAAAAAAAAAESARMEAAAAAAAAARMBFAQAAAAAAAABFAEVBAAAAAAAAAEWARcEAAAAAAAAARcBGAQAAAAAAAABGAEZCAwAAAAAAAEYAR0EAAAAAAAAARkBGgQAAAAAAAABGQEfBAAAAAAAAAEaARsICAAAAAAAARsBHAQAAAAAAAABHAEdCAgAAAAAAAEdAR4EAAAAAAAAASABIQQAAAAAAAAAAAAA</t>
        </r>
      </text>
    </comment>
    <comment ref="A64" authorId="0" shapeId="0" xr:uid="{6207C7BD-23AF-4D34-8515-7B0D99CB46CF}">
      <text>
        <r>
          <rPr>
            <sz val="9"/>
            <color indexed="81"/>
            <rFont val="Segoe UI"/>
            <charset val="1"/>
          </rPr>
          <t>Insight iXlW00001C0000064R0279761703S00000126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cAAAA/PwA/AACAAAAAAAA8L8C8fRKWYY47r8CBoGVQ4usFcAAAAAAG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Y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AREAAAD8/AD8AAIAAAAAAADwvwJeS8gHPZsDQAKgq63YX3bPvwAAAAAkAAAA/PwA/AACAAAAAAAA8L8CRiV1ApoI6b8C/7J78rAQEEAAAAAAASQ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AAAAA=</t>
        </r>
      </text>
    </comment>
    <comment ref="A65" authorId="0" shapeId="0" xr:uid="{D98DCBC0-3510-409D-859A-47109D72704C}">
      <text>
        <r>
          <rPr>
            <sz val="9"/>
            <color indexed="81"/>
            <rFont val="Segoe UI"/>
            <charset val="1"/>
          </rPr>
          <t>Insight iXlW00001C0000065R0279761703S00000128P02356LAocjBAQBF1NjaVRlZ2ljLmRhdGEuTW9sZWN1bGUBbQF/ARJTY2lUZWdpYy5Nb2xlY3VsZQAAAQFkAv5qAQAAAAIAAgEhGAAAAPz8APwAAgAAAAAAAPC/AjEIrBxaJBFAAl+YTBWMSgbAAAAAABgAAAD8/AD8AAIAAAAAAADwvwIK+aBns+oPQAK7SQwCKwcRwAAAAAAcAAAA/PwA/AACAAAAAAAA8L8ClrIMcayLBEACjGzn+6nxEsAAAAAAGAAAAPz8APwAAgAAAAAAAPC/AoZa07zjFPc/Atz5fmq89A3AAAAAABgAAAD8/AD8AAIAAAAAAADwvwI4iUFg5dD7PwLG/rJ78jACwAAAAAAcAAAA/PwA/AACAAAAAAAA8L8CDwu1pnlHCUACSHL5D+m3/L8AAAAAGAAAAPz8APwAAgAAAAAAAPC/AmgibHh6pQtAAjSitDf4wtS/AAAAACAAAAD8/AD8AAIAAAAAAADwvwKKH2PuWoITQAK2FfvL7snDPwAAAAAYAAAA/PwA/AACAAAAAAAA8L8CFR3J5T+kAkAC1CtlGeJY5T8AAAAAGAAAAPz8APwAAgAAAAAAAPC/AoenV8oyxANAAmMQWDm0SAFAAAAAABwAAAD8/AD8AAIAAAAAAADwvwKFDU+vlGUNQAIbwFsgQXEIQAAAAAAYAAAA/PwA/AACAAAAAAAA8L8CiWNd3EYDDEACAwmKH2MuEkAAAAAAGAAAAPz8APwAAgAAAAAAAPC/Ald9rrZi/wBAAh1aZDvfjxRAAAAAABgAAAD8/AD8AAIAAAAAAADwvwJkXdxGA3jtPwJBguLHmPsQQAAAAAAYAAAA/PwA/AACAAAAAAAA8L8CqoJRSZ2A8T8ClrIMcawLBkAAAAAAHAAAAPz8APwAAgAAAAAAAPC/Ai1DHOviNro/AoZa07zjFPo/AAAAABgAAAD8/AD8AAIAAAAAAADwvwKoxks3iUH2vwL5wmSqYFT8PwAAAAAYAAAA/PwA/AACAAAAAAAA8L8CVOOlm8QgAMACUfwYc9cSCUAAAAAAGAAAAPz8APwAAgAAAAAAAPC/AsKopE5AEwzAAsOGp1fKMgpAAAAAABgAAAD8/AD8AAIAAAAAAADwvwIYt9EA3oIRwAIooImw4WkAQAAAAAAYAAAA/PwA/AACAAAAAAAA8L8CL26jAbwFDsACTRWMSuoE5j8AAAAAGAAAAPz8APwAAgAAAAAAAPC/AsKopE5AEwLAAmdEaW/wheE/AAAAABgAAAD8/AD8AAIAAAAAAADwvwLufD81XrrrPwJlGeJYF7fVPwAAAAAgAAAA/PwA/AACAAAAAAAA8L8CPujZrPpc0T8CC0YldQKa8L8AAAAAGAAAAPz8APwAAgAAAAAAAPC/Ald9rrZif/O/AgOaCBueXvO/AAAAABgAAAD8/AD8AAIAAAAAAADwvwKcxCCwcugAwAJgB84ZUdp7vwAAAAAYAAAA/PwA/AACAAAAAAAA8L8CiBbZzvfTDMAC+g/pt68Dx78AAAAAGAAAAPz8APwAAgAAAAAAAPC/AkHxY8xdyxDAAmPuWkI+6Pi/AAAAABgAAAD8/AD8AAIAAAAAAADwvwLLMsSxLm4KwAIv3SQGgRUGwAAAAAAYAAAA/PwA/AACAAAAAAAA8L8CvsEXJlMF/b8CMzMzMzOzBMAAAAAAGAAAAPz8APwAAgAAAAAAAPC/ApzEILByaO2/AjGZKhiVVA7AAAAAACQAAAD8/AD8AAIAAAAAAADwvwLG/rJ78jAPwAKx4emVsowQwAAAAAAkAAAA/PwA/AACAAAAAAAA8L8CIGPuWkL+EcACbVZ9rrZi8D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gEgBAAAAAAAAAEbARwEAAAAAAAAARwBHQgIAAAAAAABHAEfBAAAAAAAAAEdAR4EAAAAAAAAAAAAAA==</t>
        </r>
      </text>
    </comment>
    <comment ref="A66" authorId="0" shapeId="0" xr:uid="{6155C7B4-1A61-489D-A4E9-80F7B1B94655}">
      <text>
        <r>
          <rPr>
            <sz val="9"/>
            <color indexed="81"/>
            <rFont val="Segoe UI"/>
            <charset val="1"/>
          </rPr>
          <t>Insight iXlW00001C0000066R0279761703S00000130P02624LAocjBAQBF1NjaVRlZ2ljLmRhdGEuTW9sZWN1bGUBbQF/ARJTY2lUZWdpYy5Nb2xlY3VsZQAAAQFkAv5qAQAAAAIAAgElGAAAAPz8APwAAgAAAAAAAPC/AlfsL7snDwfAAhZqTfOO0xLAAAAAABgAAAD8/AD8AAIAAAAAAADwvwLf4AuTqYIRwALo+6nx0k0TwAAAAAAcAAAA/PwA/AACAAAAAAAA8L8CYHZPHhbqFMACRPrt68C5DMAAAAAAGAAAAPz8APwAAgAAAAAAAPC/Ai4hH/RsVhLAAk+vlGWI4wHAAAAAABgAAAD8/AD8AAIAAAAAAADwvwL0bFZ9rrYIwAKti9toAO8AwAAAAAAcAAAA/PwA/AACAAAAAAAA8L8C8kHPZtXnAcAC/7J78rDQCsAAAAAAGAAAAPz8APwAAgAAAAAAAPC/AktZhjjWxee/ApVliGNd3AnAAAAAACAAAAD8/AD8AAIAAAAAAADwvwLqlbIMcay7PwJ0RpT2Bt8RwAAAAAAYAAAA/PwA/AACAAAAAAAA8L8CwH0dOGdEub8Cz4jS3uAL/r8AAAAAGAAAAPz8APwAAgAAAAAAAPC/AvoP6bevA/Y/AmgibHh6pfm/AAAAABwAAAD8/AD8AAIAAAAAAADwvwLwp8ZLN4kEQAJ1ApoIGx4EwAAAAAAYAAAA/PwA/AACAAAAAAAA8L8CPSzUmuadD0ACEce6uI0G/78AAAAAGAAAAPz8APwAAgAAAAAAAPC/Amiz6nO1lRBAAtWa5h2n6Ny/AAAAABgAAAD8/AD8AAIAAAAAAADwvwLdRgN4C6QHQAI17zhFR3LdPwAAAAAYAAAA/PwA/AACAAAAAAAA8L8CH4XrUbge+T8CxSCwcmiRvb8AAAAAHAAAAPz8APwAAgAAAAAAAPC/Aqd5xyk6kss/AnulLEMc6+A/AAAAABgAAAD8/AD8AAIAAAAAAADwvwJUdCSX/5CuvwJKnYAmwgYAQAAAAAAYAAAA/PwA/AACAAAAAAAA8L8CEjY8vVKW978CTRWMSuoEBEAAAAAAGAAAAPz8APwAAgAAAAAAAPC/AnicoiO5/Pu/Av+ye/Kw0A9AAAAAABgAAAD8/AD8AAIAAAAAAADwvwLf4AuTqYLjvwJz1xLyQc8TQAAAAAAYAAAA/PwA/AACAAAAAAAA8L8C/0P67evA6T8CchsN4C3QEUAAAAAAGAAAAPz8APwAAgAAAAAAAPC/AmaIY13cRvE/AvnCZKpg1AdAAAAAABgAAAD8/AD8AAIAAAAAAADwvwIIzhlR2hvqvwJWDi2yne/hvwAAAAAgAAAA/PwA/AACAAAAAAAA8L8CsAPnjChtAsACF0hQ/Bhz178AAAAAGAAAAPz8APwAAgAAAAAAAPC/Ap2iI7n8BwfAApT2Bl+YTPA/AAAAABgAAAD8/AD8AAIAAAAAAADwvwJlGeJYF3cRwAK6awn5oGfzPwAAAAAYAAAA/PwA/AACAAAAAAAA8L8C3GgAb4HEE8ACYxBYObTIBEAAAAAAGAAAAPz8APwAAgAAAAAAAPC/AjtwzojSHhDAAlYwKqkTUA5AAAAAABgAAAD8/AD8AAIAAAAAAADwvwJIUPwYc1cEwALD9Shcj8IMQAAAAAAYAAAA/PwA/AACAAAAAAAA8L8Ct2J/2T15/78CPZtVn6utAUAAAAAAGAAAAPz8APwAAgAAAAAAAPC/ArtJDAIrh96/AiKOdXEbDQNAAAAAABgAAAD8/AD8AAIAAAAAAADwvwIGEhQ/xhwVwAI0ETY8vVKWPwAAAAAgAAAA/PwA/AACAAAAAAAA8L8Cq2BUUicgFkACSHL5D+m3vz8AAAAAGAAAAPz8APwAAgAAAAAAAPC/AoiFWtO84xpAAryWkA96Num/AAAAABgAAAD8/AD8AAIAAAAAAADwvwJlGeJYFzcgQAIjbHh6pSzLvwAAAAAgAAAA/PwA/AACAAAAAAAA8L8CYqHWNO+YIkACB/AWSFD88b8AAAAAIAAAAPz8APwAAgAAAAAAAPC/AgpoImx4miBAAtgS8kHPZvQ/AAAAAAEp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BIQEiBAAAAAAAAAEiASMEAAAAAAAAASIBJAgAAAAAAAAAAAAA</t>
        </r>
      </text>
    </comment>
    <comment ref="A67" authorId="0" shapeId="0" xr:uid="{36C38AF9-97F9-47A5-8588-734E18F43B21}">
      <text>
        <r>
          <rPr>
            <sz val="9"/>
            <color indexed="81"/>
            <rFont val="Segoe UI"/>
            <charset val="1"/>
          </rPr>
          <t>Insight iXlW00001C0000067R0279761703S00000132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YAAAA/PwA/AACAAAAAAAA8L8C8fRKWYY47r8CBoGVQ4usFcAAAAAAHAAAAPz8APwAAgAAAAAAAPC/AnP5D+m3r+E/As3MzMzMTBXAAAAAABg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Bg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68" authorId="0" shapeId="0" xr:uid="{E95C1DE3-C007-4FF2-B4DE-1BF15507C90C}">
      <text>
        <r>
          <rPr>
            <sz val="9"/>
            <color indexed="81"/>
            <rFont val="Segoe UI"/>
            <charset val="1"/>
          </rPr>
          <t>Insight iXlW00001C0000068R0279761703S00000134P02352LAocjBAQBF1NjaVRlZ2ljLmRhdGEuTW9sZWN1bGUBbQF/ARJTY2lUZWdpYy5Nb2xlY3VsZQAAAQFkAv5qAQAAAAIAAgEhGAAAAPz8APwAAgAAAAAAAPC/Ai2yne+nxuO/An/7OnDOCBTAAAAAABgAAAD8/AD8AAIAAAAAAADwvwIxCKwcWmQAwAIT8kHPZtUVwAAAAAAcAAAA/PwA/AACAAAAAAAA8L8CCawcWmQ7CcACLbKd76fGEcAAAAAAGAAAAPz8APwAAgAAAAAAAPC/AnKKjuTynwbAAp/Nqs/V1gfAAAAAABgAAAD8/AD8AAIAAAAAAADwvwKY3ZOHhVr2vwJ24JwRpT0EwAAAAAAcAAAA/PwA/AACAAAAAAAA8L8CqFfKMsSx0r8CQmDl0CJbDMAAAAAAGAAAAPz8APwAAgAAAAAAAPC/AmKh1jTvOPI/Ahlz1xLywQjAAAAAACAAAAD8/AD8AAIAAAAAAADwvwKI9NvXgfMBQAJz+Q/pt28QwAAAAAAYAAAA/PwA/AACAAAAAAAA8L8CAJF++zpw9z8CSgwCK4cW+r8AAAAAGAAAAPz8APwAAgAAAAAAAPC/Au58PzVeugZAAmFUUiegifC/AAAAABgAAAD8/AD8AAIAAAAAAADwvwLDZKpgVNIQQALf4AuTqYL6vwAAAAAcAAAA/PwA/AACAAAAAAAA8L8CvlKWIY61FUAC5x2n6Egu6b8AAAAAGAAAAPz8APwAAgAAAAAAAPC/AoiFWtO8IxVAAgtGJXUCmuY/AAAAABgAAAD8/AD8AAIAAAAAAADwvwJ3vp8aL10PQAITg8DKoUX1PwAAAAAYAAAA/PwA/AACAAAAAAAA8L8Cg+LHmLuWBUACYHZPHhZq3T8AAAAAHAAAAPz8APwAAgAAAAAAAPC/Ah3r4jYawPM/AopBYOXQIuk/AAAAABgAAAD8/AD8AAIAAAAAAADwvwJnZmZmZmbkPwIJG55eKUsBQAAAAAAYAAAA/PwA/AACAAAAAAAA8L8CDJOpglFJ678C097gC5OpAkAAAAAAGAAAAPz8APwAAgAAAAAAAPC/Am+BBMWPMfe/AkETYcPTqw1AAAAAABgAAAD8/AD8AAIAAAAAAADwvwI+eVioNc3hvwLyQc9m1acTQAAAAAAYAAAA/PwA/AACAAAAAAAA8L8CNYC3QILi7T8CDeAtkKD4EkAAAAAAGAAAAPz8APwAAgAAAAAAAPC/AgR4CyQofvg/Aq2L22gA7wpAAAAAABgAAAD8/AD8AAIAAAAAAADwvwKl374OnDPePwLChqdXyjLgvwAAAAAYAAAA/PwA/AACAAAAAAAA8L8CEHo2qz5X8L8CUkmdgCbC5L8AAAAAGAAAAPz8APwAAgAAAAAAAPC/AoofY+5aQv6/AmN/2T15WOI/AAAAABgAAAD8/AD8AAIAAAAAAADwvwJ9PzVeukn0vwLjWBe30QD/PwAAAAAYAAAA/PwA/AACAAAAAAAA8L8CtMh2vp8aAcACZohjXdxGCUAAAAAAGAAAAPz8APwAAgAAAAAAAPC/ArHh6ZWyDA3AAvvt68A5IwhAAAAAABgAAAD8/AD8AAIAAAAAAADwvwLcaABvgQQRwALEQq1p3nH6PwAAAAAYAAAA/PwA/AACAAAAAAAA8L8C+n5qvHQTC8ACp3nHKTqS2z8AAAAAGAAAAPz8APwAAgAAAAAAAPC/AoC3QILiBxDAAqwcWmQ73+2/AAAAACQAAAD8/AD8AAIAAAAAAADwvwJ24JwRpf0WwALtDb4wmSr4PwAAAAAgAAAA/PwA/AACAAAAAAAA8L8CgnNGlPYGGkAC8fRKWYY4+T8AAAAAASUABAQAAAAAAAAAFAQAAAAAAAAECAQAAAAAAAAIDAQAAAAAAAAMEAQAAAAAAAAQFAQAAAAAAAAUGAQAAAAAAAAYHAgAAAAAAAAYIAQAAAAAAAAgJAQAAAAAAAAgARYIDAAAAAAAJCgIDAAAAAAAJDgEAAAAAAAAKCwEAAAAAAAALDAEAAAAAAAAMDQEAAAAAAAAMAEgCAAAAAAAADQ4CAgAAAAAADg8BAAAAAAAADwBEAQAAAAAAAA8ARYEAAAAAAAAARABEQQAAAAAAAABEAEVBAAAAAAAAAERARIEAAAAAAAAARIBEwQAAAAAAAABEwEUBAAAAAAAAAEUARUEAAAAAAAAARYBFwQAAAAAAAABFwEYBAAAAAAAAAEYARkIDAAAAAAAARgBHQQAAAAAAAABGQEaBAAAAAAAAAEaARsICAAAAAAAARsBHAQAAAAAAAABHAEdCAgAAAAAAAEcAR8EAAAAAAAAAR0BHgQAAAAAAAAAAAAA</t>
        </r>
      </text>
    </comment>
    <comment ref="A69" authorId="0" shapeId="0" xr:uid="{1C5DCEA4-4186-4C42-B924-D3129F461239}">
      <text>
        <r>
          <rPr>
            <sz val="9"/>
            <color indexed="81"/>
            <rFont val="Segoe UI"/>
            <charset val="1"/>
          </rPr>
          <t>Insight iXlW00001C0000069R0279761703S00000136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wAAAD8/AD8AAIAAAAAAADwvwLLMsSxLm78vwI2zTtO0ZEQwAAAAAAY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Y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70" authorId="0" shapeId="0" xr:uid="{901D1D61-64B5-4112-930A-3CFDE36BD58C}">
      <text>
        <r>
          <rPr>
            <sz val="9"/>
            <color indexed="81"/>
            <rFont val="Segoe UI"/>
            <charset val="1"/>
          </rPr>
          <t>Insight iXlW00001C0000070R0279761703S00000138P02488LAocjBAQBF1NjaVRlZ2ljLmRhdGEuTW9sZWN1bGUBbQF/ARJTY2lUZWdpYy5Nb2xlY3VsZQAAAQFkAv5qAQAAAAIAAgEjGAAAAPz8APwAAgAAAAAAAPC/ApkqGJXUCQXAAnIbDeAtkBLAAAAAABgAAAD8/AD8AAIAAAAAAADwvwJNFYxK6oQQwAJ/arx0k5gSwAAAAAAcAAAA/PwA/AACAAAAAAAA8L8CI0p7gy+ME8AC2xt8YTLVCsAAAAAAGAAAAPz8APwAAgAAAAAAAPC/Avp+arx0kxDAApzEILByaADAAAAAABgAAAD8/AD8AAIAAAAAAADwvwL0/dR46SYFwAKBJsKGp1cAwAAAAAAcAAAA/PwA/AACAAAAAAAA8L8CjSjtDb4w/r8Cpd++DpyzCsAAAAAAGAAAAPz8APwAAgAAAAAAAPC/AjSitDf4wti/AopBYOXQogrAAAAAACAAAAD8/AD8AAIAAAAAAADwvwJz+Q/pt6/XPwJXfa62Yn8SwAAAAAAYAAAA/PwA/AACAAAAAAAA8L8Cnl4pyxDH1j8CS+oENBE2AMAAAAAAGAAAAPz8APwAAgAAAAAAAPC/AngLJCh+jP0/AmMQWDm0yP2/AAAAABgAAAD8/AD8AAIAAAAAAADwvwIj2/l+arwHQAKsHFpkO98GwAAAAAAYAAAA/PwA/AACAAAAAAAA8L8Cxty1hHyQEUACC0YldQIaA8AAAAAAGAAAAPz8APwAAgAAAAAAAPC/Aiz2l92TxxJAAtgS8kHPZu2/AAAAABgAAAD8/AD8AAIAAAAAAADwvwLwFkhQ/JgMQAKyv+yePCy0PwAAAAAYAAAA/PwA/AACAAAAAAAA8L8Cvw6cM6I0AUAC4zYawFsg2b8AAAAAHAAAAPz8APwAAgAAAAAAAPC/AgHeAgmKH+s/ArN78rBQa9Y/AAAAABgAAAD8/AD8AAIAAAAAAADwvwK5/If029flPwK+UpYhjnX9PwAAAAAYAAAA/PwA/AACAAAAAAAA8L8C+8vuycNC/j8CvXSTGATWBUAAAAAAGAAAAPz8APwAAgAAAAAAAPC/AskHPZtVn/s/AlMnoImw4RBAAAAAABgAAAD8/AD8AAIAAAAAAADwvwLc14FzRpTWPwKYbhKDwEoTQAAAAAAYAAAA/PwA/AACAAAAAAAA8L8CT6+UZYhj678CCmgibHh6D0AAAAAAGAAAAPz8APwAAgAAAAAAAPC/AuomMQisHOa/Aum3rwPnjANAAAAAABgAAAD8/AD8AAIAAAAAAADwvwLnjCjtDb7QvwLSb18HzhnlvwAAAAAgAAAA/PwA/AACAAAAAAAA8L8C5KWbxCCw+78CUkmdgCbC1r8AAAAAGAAAAPz8APwAAgAAAAAAAPC/Asx/SL99nQHAAg6+MJkqGPE/AAAAABgAAAD8/AD8AAIAAAAAAADwvwIxKqkT0ETzvwJuNIC3QIIBQAAAAAAYAAAA/PwA/AACAAAAAAAA8L8Cc9cS8kHP+r8C2BLyQc/mDEAAAAAAGAAAAPz8APwAAgAAAAAAAPC/Ag8tsp3vJwnAAqJFtvP9VA9AAAAAABgAAAD8/AD8AAIAAAAAAADwvwLhC5OpgpEQwAI7cM6I0l4GQAAAAAAYAAAA/PwA/AACAAAAAAAA8L8CIUHxY8xdDcACFNBE2PD09T8AAAAAGAAAAPz8APwAAgAAAAAAAPC/AuqVsgxxrBLAAhiV1AloItA/AAAAACQAAAD8/AD8AAIAAAAAAADwvwIZBFYOLbLlvwIDCYofY+4SQAAAAAAYAAAA/PwA/AACAAAAAAAA8L8CRPrt68B5GEACpHA9Ctej3L8AAAAAIAAAAPz8APwAAgAAAAAAAPC/AvjkYaHW9BxAApAxdy0hH/e/AAAAACAAAAD8/AD8AAIAAAAAAADwvwLG/rJ78rAZQAKBJsKGp1fwPwAAAAABJwAEBAAAAAAAAAAUBAAAAAAAAAQIBAAAAAAAAAgMBAAAAAAAAAwQBAAAAAAAABAUBAAAAAAAABQYBAAAAAAAABgcCAAAAAAAABggBAAAAAAAACAkBAAAAAAAACABFggMAAAAAAAkKAgMAAAAAAAkOAQAAAAAAAAoLAQAAAAAAAAsMAgIAAAAAAAwNAQAAAAAAAAwASAEAAAAAAAANDgICAAAAAAAODwEAAAAAAAAPAEQBAAAAAAAADwBFgQAAAAAAAABEAERCAwAAAAAAAEQARUEAAAAAAAAAREBEgQAAAAAAAABEgETCAgAAAAAAAETARQEAAAAAAAAARQBFQgIAAAAAAABFgEXBAAAAAAAAAEXARgEAAAAAAAAARgBGQgMAAAAAAABGAEdBAAAAAAAAAEZARoEAAAAAAAAARoBGwgIAAAAAAABGgEfBAAAAAAAAAEbARwEAAAAAAAAARwBHQgIAAAAAAABHQEeBAAAAAAAAAEgASEIAAAAAAAAASABIgQAAAAAAAAAAAAA</t>
        </r>
      </text>
    </comment>
    <comment ref="A71" authorId="0" shapeId="0" xr:uid="{1956B899-7EA6-4620-BFA3-1101E399F5BD}">
      <text>
        <r>
          <rPr>
            <sz val="9"/>
            <color indexed="81"/>
            <rFont val="Segoe UI"/>
            <charset val="1"/>
          </rPr>
          <t>Insight iXlW00001C0000071R0279761703S00000140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gAAAD8/AD8AAIAAAAAAADwvwIkKH6MuesCQAISNjy9UpYPQAAAAAAc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/fZ14JwRA8ACKKCJsOHp2b8AAAAAGAAAAPz8APwAAgAAAAAAAPC/AmwJ+aBnsw7AAo6XbhKDwOi/AAAAABgAAAD8/AD8AAIAAAAAAADwvwK30QDeAokTwAIqOpLLf0jTPwAAAAAYAAAA/PwA/AACAAAAAAAA8L8CnoAmwobnEcACCvmgZ7Pq+z8AAAAAGAAAAPz8APwAAgAAAAAAAPC/AszuycNCLQjAApzEILBy6ABAAAAAABgAAAD8/AD8AAIAAAAAAADwvwL+1HjpJjHkPwIt1JrmHafcPwAAAAAgAAAA/PwA/AACAAAAAAAA8L8CRiV1ApoI4T8C1LzjFB3J8L8AAAAAGAAAAPz8APwAAgAAAAAAAPC/Ai9uowG8Beq/AjIIrBxaZPu/AAAAABgAAAD8/AD8AAIAAAAAAADwvwLnHafoSC7tvwLQZtXnaqsJwAAAAAAYAAAA/PwA/AACAAAAAAAA8L8CkML1KFwPAsACf4y5awn5DsAAAAAAGAAAAPz8APwAAgAAAAAAAPC/ArfRAN4CCQzAAndPHhZqTQjAAAAAABgAAAD8/AD8AAIAAAAAAADwvwLJ5T+k3z4LwAIPLbKd76f4vwAAAAAYAAAA/PwA/AACAAAAAAAA8L8CtOpztRV7AMACYcPTK2UZ7L8AAAAAJAAAAPz8APwAAgAAAAAAAPC/Anl6pSxDnBLAAv5l9+Rhoea/AAAAABgAAAD8/AD8AAIAAAAAAADwvwKti9toAG/VPwIIPZtVnysQ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cAR4EAAAAAAAAAAAAAA==</t>
        </r>
      </text>
    </comment>
    <comment ref="A72" authorId="0" shapeId="0" xr:uid="{8DB20296-C454-47E0-B121-CA80B71A9E38}">
      <text>
        <r>
          <rPr>
            <sz val="9"/>
            <color indexed="81"/>
            <rFont val="Segoe UI"/>
            <charset val="1"/>
          </rPr>
          <t>Insight iXlW00001C0000072R0279761703S00000142P02624LAocjBAQBF1NjaVRlZ2ljLmRhdGEuTW9sZWN1bGUBbQF/ARJTY2lUZWdpYy5Nb2xlY3VsZQAAAQFkAv5qAQAAAAIAAgElGAAAAPz8APwAAgAAAAAAAPC/AnS1FfvL7gXAAkhQ/BhzVxPAAAAAABgAAAD8/AD8AAIAAAAAAADwvwIBTYQNT+8QwAK/DpwzovQTwAAAAAAcAAAA/PwA/AACAAAAAAAA8L8CbAn5oGdzFMACq8/VVuwvDsAAAAAAGAAAAPz8APwAAgAAAAAAAPC/AnNoke18/xHAAusENBE2PAPAAAAAABgAAAD8/AD8AAIAAAAAAADwvwJX7C+7Jw8IwAL9h/Tb1wECwAAAAAAcAAAA/PwA/AACAAAAAAAA8L8CgnNGlPYGAcAC0NVW7C+7C8AAAAAAGAAAAPz8APwAAgAAAAAAAPC/As07TtGRXOS/AuJYF7fRgArAAAAAACAAAAD8/AD8AAIAAAAAAADwvwIbnl4pyxDPPwJb07zjFB0SwAAAAAAYAAAA/PwA/AACAAAAAAAA8L8CnoAmwoanl78Ctch2vp8a/78AAAAAGAAAAPz8APwAAgAAAAAAAPC/Aj0s1JrmHfc/Au4NvjCZKvq/AAAAABgAAAD8/AD8AAIAAAAAAADwvwId6+I2GkAFQAKA2T15WCgEwAAAAAAYAAAA/PwA/AACAAAAAAAA8L8C6iYxCKwcEEACfPKwUGua/r8AAAAAGAAAAPz8APwAAgAAAAAAAPC/AqqCUUmdwBBAAhTQRNjw9Nq/AAAAABgAAAD8/AD8AAIAAAAAAADwvwIdWmQ7388HQAIzxLEubqPdPwAAAAAYAAAA/PwA/AACAAAAAAAA8L8CPZtVn6ut+T8Cs3vysFBrwr8AAAAAHAAAAPz8APwAAgAAAAAAAPC/AuAtkKD4Mc4/AvMf0m9fB94/AAAAABgAAAD8/AD8AAIAAAAAAADwvwKxUGuad5yyvwI8TtGRXP7+PwAAAAAYAAAA/PwA/AACAAAAAAAA8L8Cfoy5awn5978Cl/+Qfvs6A0AAAAAAGAAAAPz8APwAAgAAAAAAAPC/AkZHcvkP6fy/Ardif9k9+Q5AAAAAABgAAAD8/AD8AAIAAAAAAADwvwIzVTAqqRPmvwLLoUW2830TQAAAAAAYAAAA/PwA/AACAAAAAAAA8L8C0gDeAgmK5z8CjnVxGw2gEUAAAAAAGAAAAPz8APwAAgAAAAAAAPC/AjC7Jw8LtfA/Av2H9NvXgQdAAAAAABgAAAD8/AD8AAIAAAAAAADwvwJKe4MvTKbovwKgibDh6ZXkvwAAAAAgAAAA/PwA/AACAAAAAAAA8L8C1udqK/YXAsACP1dbsb/s3r8AAAAAGAAAAPz8APwAAgAAAAAAAPC/AlAeFmpN8wbAAjzfT42Xbuw/AAAAABgAAAD8/AD8AAIAAAAAAADwvwId6+I2GsD/vwIGo5I6Ac0AQAAAAAAYAAAA/PwA/AACAAAAAAAA8L8CCKwcWmS7BMAChC9MpgrGC0AAAAAAGAAAAPz8APwAAgAAAAAAAPC/AoZa07zjVBDAAgTnjCjtDQ1AAAAAABgAAAD8/AD8AAIAAAAAAADwvwLKw0Ktad4TwAIGEhQ/xlwDQAAAAAAYAAAA/PwA/AACAAAAAAAA8L8CqRPQRNhwEcACnl4pyxDH8D8AAAAAGAAAAPz8APwAAgAAAAAAAPC/AgpoImx4+hTAAne+nxov3cS/AAAAACQAAAD8/AD8AAIAAAAAAADwvwKOBvAWSFD7vwJdbcX+srsSQAAAAAAgAAAA/PwA/AACAAAAAAAA8L8CBTQRNjw9FkAC8mPMXUvIxz8AAAAAGAAAAPz8APwAAgAAAAAAAPC/AoSezarPFRtAAicxCKwcWua/AAAAABgAAAD8/AD8AAIAAAAAAADwvwLwp8ZLN0kgQAIGgZVDi2y3vwAAAAAgAAAA/PwA/AACAAAAAAAA8L8CvVKWIY61IkACRPrt68A5778AAAAAIAAAAPz8APwAAgAAAAAAAPC/AtDVVuwvmyBAAmdmZmZmZvY/AAAAAAEpAAQEAAAAAAAAABQEAAAAAAAABAgEAAAAAAAACAwEAAAAAAAADBAEAAAAAAAAEBQEAAAAAAAAFBgEAAAAAAAAGBwIAAAAAAAAGCAEAAAAAAAAICQEAAAAAAAAIAEWCAwAAAAAACQoCAwAAAAAACQ4BAAAAAAAACgsBAAAAAAAACwwCAgAAAAAADA0BAAAAAAAADABI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SABIQQAAAAAAAABIQEiBAAAAAAAAAEiASMIAAAAAAAAASIBJAQAAAAAAAAAAAAA</t>
        </r>
      </text>
    </comment>
    <comment ref="A73" authorId="0" shapeId="0" xr:uid="{060E7AF5-BD55-45DF-B112-B8B21FBDE9EB}">
      <text>
        <r>
          <rPr>
            <sz val="9"/>
            <color indexed="81"/>
            <rFont val="Segoe UI"/>
            <charset val="1"/>
          </rPr>
          <t>Insight iXlW00001C0000073R0279761703S00000144P02420LAocjBAQBF1NjaVRlZ2ljLmRhdGEuTW9sZWN1bGUBbQF/ARJTY2lUZWdpYy5Nb2xlY3VsZQAAAQFkAv5qAQAAAAIAAgEiGAAAAPz8APwAAgAAAAAAAPC/AmHD0ytlGQ/AAiEf9GxWfQfAAAAAABgAAAD8/AD8AAIAAAAAAADwvwKA2T15WKgUwAJvgQTFjzEBwAAAAAAcAAAA/PwA/AACAAAAAAAA8L8CB/AWSFB8FMACCRueXinL5L8AAAAAGAAAAPz8APwAAgAAAAAAAPC/An4dOGdEaQ7AAhHHuriNBrA/AAAAABgAAAD8/AD8AAIAAAAAAADwvwLgLZCg+DEEwAIFxY8xdy3nvwAAAAAcAAAA/PwA/AACAAAAAAAA8L8C0gDeAgmKBMAC7uvAOSPKAcAAAAAAGAAAAPz8APwAAgAAAAAAAPC/AmgibHh6pfS/AqCJsOHpFQjAAAAAACAAAAD8/AD8AAIAAAAAAADwvwJMyAc9m1X1vwInwoanVwoSwAAAAAAYAAAA/PwA/AACAAAAAAAA8L8CrK3YX3ZPnj8CbVZ9rrZiAsAAAAAAGAAAAPz8APwAAgAAAAAAAPC/Anl6pSxDHPY/AtzXgXNGlAfAAAAAABwAAAD8/AD8AAIAAAAAAADwvwLKw0Ktad78PwLrc7UV+4sRwAAAAAAYAAAA/PwA/AACAAAAAAAA8L8Cf2q8dJMYCkACg8DKoUX2EsAAAAAAGAAAAPz8APwAAgAAAAAAAPC/Ahx8YTJVMBFAAj4K16NwPQ3AAAAAABgAAAD8/AD8AAIAAAAAAADwvwKPU3Qkl/8OQAJ90LNZ9bkBwAAAAAAYAAAA/PwA/AACAAAAAAAA8L8C9UpZhjhWA0ACJ8KGp1fK/b8AAAAAHAAAAPz8APwAAgAAAAAAAPC/AvXb14FzRvs/AhB6Nqs+V+G/AAAAABgAAAD8/AD8AAIAAAAAAADwvwJqb/CFydQCQAKSXP5D+u3pPwAAAAAYAAAA/PwA/AACAAAAAAAA8L8Crthfdk8e+D8CiIVa07xjAEAAAAAAGAAAAPz8APwAAgAAAAAAAPC/Ao6XbhKDQAFAAjC7Jw8LNQtAAAAAABgAAAD8/AD8AAIAAAAAAADwvwIPnDOitDcNQALnriXkgx4MQAAAAAAYAAAA/PwA/AACAAAAAAAA8L8CkQ96Nqv+EUACg8DKoUU2AkAAAAAAGAAAAPz8APwAAgAAAAAAAPC/ArOd76fGyw5AAmsr9pfdk+0/AAAAABgAAAD8/AD8AAIAAAAAAADwvwKlvcEXJlPNPwIN4C2QoPjpvwAAAAAgAAAA/PwA/AACAAAAAAAA8L8C2BLyQc9m678C4L4OnDOizD8AAAAAGAAAAPz8APwAAgAAAAAAAPC/AhWuR+F6FOC/AhDpt68D5/o/AAAAABgAAAD8/AD8AAIAAAAAAADwvwKcxCCwcmj5vwJBguLHmLsFQAAAAAAYAAAA/PwA/AACAAAAAAAA8L8COpLLf0i/878CbsX+snuyEEAAAAAAGAAAAPz8APwAAgAAAAAAAPC/AsZtNIC3QMo/AsIXJlMFYxJAAAAAABgAAAD8/AD8AAIAAAAAAADwvwJKe4MvTKb0PwKTy39Iv30MQAAAAAAYAAAA/PwA/AACAAAAAAAA8L8C0pFc/kP67T8CMZkqGJXUAEAAAAAAGAAAAPz8APwAAgAAAAAAAPC/AgaBlUOL7AFAAifChqdXyvU/AAAAABgAAAD8/AD8AAIAAAAAAADwvwJIcvkP6TcIwAKY3ZOHhVoCQAAAAAAYAAAA/PwA/AACAAAAAAAA8L8CVHQkl/8QDsACy6FFtvP9+D8AAAAAIAAAAPz8APwAAgAAAAAAAPC/Avkx5q4lJBTAAl+YTBWMygJAAAAAAAEmAAQEAAAAAAAAABQEAAAAAAAABAgEAAAAAAAACAwEAAAAAAAADBAEAAAAAAAADAEg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AAAAA</t>
        </r>
      </text>
    </comment>
    <comment ref="A74" authorId="0" shapeId="0" xr:uid="{1F7A6E41-F34C-4CCF-98F5-966D8E7DEDE1}">
      <text>
        <r>
          <rPr>
            <sz val="9"/>
            <color indexed="81"/>
            <rFont val="Segoe UI"/>
            <charset val="1"/>
          </rPr>
          <t>Insight iXlW00001C0000074R0279761703S00000146P02420LAocjBAQBF1NjaVRlZ2ljLmRhdGEuTW9sZWN1bGUBbQF/ARJTY2lUZWdpYy5Nb2xlY3VsZQAAAQFkAv5qAQAAAAIAAgEiGAAAAPz8APwAAgAAAAAAAPC/AuzAOSNKe/O/AoEmwoan1xPAAAAAABgAAAD8/AD8AAIAAAAAAADwvwKV1AloImwFwAKCBMWPMTcVwAAAAAAcAAAA/PwA/AACAAAAAAAA8L8CFR3J5T+kDcAC8tJNYhDYEMAAAAAAGAAAAPz8APwAAgAAAAAAAPC/Aq5H4XoULgrAAsKGp1fKMgbAAAAAABgAAAD8/AD8AAIAAAAAAADwvwIep+hILv/8vwKI9NvXgXMDwAAAAAAcAAAA/PwA/AACAAAAAAAA8L8CPSzUmuYd6b8CqFfKMsQxDMAAAAAAGAAAAPz8APwAAgAAAAAAAPC/AkCk374OnOU/AqabxCCwcgnAAAAAACAAAAD8/AD8AAIAAAAAAADwvwIgY+5aQj77PwJjf9k9eRgRwAAAAAAYAAAA/PwA/AACAAAAAAAA8L8CXynLEMe68T8CCvmgZ7Pq+78AAAAAGAAAAPz8APwAAgAAAAAAAPC/AqhXyjLEMQRAAhi30QDeAvS/AAAAABgAAAD8/AD8AAIAAAAAAADwvwL1bFZ9rrYOQAIBb4EExY//vwAAAAAcAAAA/PwA/AACAAAAAAAA8L8CeJyiI7l8FEACPSzUmuYd878AAAAAGAAAAPz8APwAAgAAAAAAAPC/AuviNhrAWxRAAv2H9NvXgdM/AAAAABgAAAD8/AD8AAIAAAAAAADwvwKKsOHplTIOQALo2az6XG3wPwAAAAAYAAAA/PwA/AACAAAAAAAA8L8Cj+TyH9LvA0ACrBxaZDvfzz8AAAAAHAAAAPz8APwAAgAAAAAAAPC/AtuK/WX35PA/AsfctYR80OU/AAAAABgAAAD8/AD8AAIAAAAAAADwvwLSkVz+Q/rhPwJjEFg5tMgAQAAAAAAYAAAA/PwA/AACAAAAAAAA8L8CYjJVMCqp+D8CrBxaZDvfCUAAAAAAGAAAAPz8APwAAgAAAAAAAPC/AnDwhclUwfA/Au9aQj7omRJAAAAAABgAAAD8/AD8AAIAAAAAAADwvwLu68A5I0rbvwJiodY077gTQAAAAAAYAAAA/PwA/AACAAAAAAAA8L8CdSSX/5B+9r8CejarPldbDkAAAAAAGAAAAPz8APwAAgAAAAAAAPC/AgXFjzF3Le2/AkqdgCbCBgNAAAAAABgAAAD8/AD8AAIAAAAAAADwvwJEi2zn+6nJPwIEVg4tsp3hvwAAAAAYAAAA/PwA/AACAAAAAAAA8L8CRWlv8IXJ9L8CaCJseHql4r8AAAAAGAAAAPz8APwAAgAAAAAAAPC/Asx/SL99nQDAAoUNT6+UZeY/AAAAABgAAAD8/AD8AAIAAAAAAADwvwKuR+F6FK71vwJ1ApoIGx4AQAAAAAAYAAAA/PwA/AACAAAAAAAA8L8COUVHcvkPAcACqaROQBNhCkAAAAAAGAAAAPz8APwAAgAAAAAAAPC/AlfsL7snDw3AAlhbsb/sHgpAAAAAABgAAAD8/AD8AAIAAAAAAADwvwIm5IOezWoRwAKHONbFbTT/PwAAAAAYAAAA/PwA/AACAAAAAAAA8L8CIv32deCcDMACP+jZrPpc5T8AAAAAGAAAAPz8APwAAgAAAAAAAPC/Aots5/upMRHAAhIUP8bcteS/AAAAACQAAAD8/AD8AAIAAAAAAADwvwLRItv5fmoXwALkpZvEILD+PwAAAAAgAAAA/PwA/AACAAAAAAAA8L8C6Ugu/yF9GUACw2SqYFRS8T8AAAAAGAAAAPz8APwAAgAAAAAAAPC/Ao9TdCSXvx5AAmiz6nO1Fdc/AAAAAAEmAAQEAAAAAAAAABQEAAAAAAAABAgEAAAAAAAACAwEAAAAAAAADBAEAAAAAAAAEBQEAAAAAAAAFBgEAAAAAAAAGBwIAAAAAAAAGCAEAAAAAAAAICQEAAAAAAAAIAEWCAwAAAAAACQoCAwAAAAAACQ4BAAAAAAAACgsBAAAAAAAACwwCAgAAAAAADA0BAAAAAAAADABIAQAAAAAAAA0OAgIAAAAAAA4PAQAAAAAAAA8ARAEAAAAAAAAPAEWBAAAAAAAAAEQAREEAAAAAAAAARABFQQAAAAAAAABEQESBAAAAAAAAAESARMEAAAAAAAAARMBFAQAAAAAAAABFAEVBAAAAAAAAAEWARcEAAAAAAAAARcBGAQAAAAAAAABGAEZCAwAAAAAAAEYAR0EAAAAAAAAARkBGgQAAAAAAAABGgEbCAgAAAAAAAEbARwEAAAAAAAAARwBHQgIAAAAAAABHAEfBAAAAAAAAAEdAR4EAAAAAAAAASABIQQAAAAAAAAAAAAA</t>
        </r>
      </text>
    </comment>
    <comment ref="A75" authorId="0" shapeId="0" xr:uid="{3FB2212B-DF7F-4FEE-B7D3-514590CD7298}">
      <text>
        <r>
          <rPr>
            <sz val="9"/>
            <color indexed="81"/>
            <rFont val="Segoe UI"/>
            <charset val="1"/>
          </rPr>
          <t>Insight iXlW00001C0000075R0279761703S00000148P02776LAocjBAQBF1NjaVRlZ2ljLmRhdGEuTW9sZWN1bGUBbQF/ARJTY2lUZWdpYy5Nb2xlY3VsZQAAAQFkAv5qAQAAAAIAAgEnGAAAAPz8APwAAgAAAAAAAPC/Amyad5yiI+s/Aoqw4emVchDAAAAAABgAAAD8/AD8AAIAAAAAAADwvwKNuWsJ+SABQAIFNBE2PH0TwAAAAAAcAAAA/PwA/AACAAAAAAAA8L8C/vZ14JyRC0ACnaIjufyHEMAAAAAAGAAAAPz8APwAAgAAAAAAAPC/ArU3+MJkqgtAAnIbDeAtEAXAAAAAABgAAAD8/AD8AAIAAAAAAADwvwL8OnDOiFIBQAKFfNCzWfX9vwAAAAAcAAAA/PwA/AACAAAAAAAA8L8CLPaX3ZOH6z8CFGHD0yvlBMAAAAAAGAAAAPz8APwAAgAAAAAAAPC/AjerPldbsdu/Ajq0yHa+n/2/AAAAACAAAAD8/AD8AAIAAAAAAADwvwJeukkMAivwvwKHONbFbTQDwAAAAAAYAAAA/PwA/AACAAAAAAAA8L8Ce6UsQxzr2r8C5tAi2/l+1r8AAAAAGAAAAPz8APwAAgAAAAAAAPC/ApqZmZmZmek/Akp7gy9MpuA/AAAAABwAAAD8/AD8AAIAAAAAAADwvwJ1ApoIGx4CQAJ8YTJVMCrJPwAAAAAYAAAA/PwA/AACAAAAAAAA8L8CSHL5D+k3CkAC71pCPujZ9D8AAAAAGAAAAPz8APwAAgAAAAAAAPC/AnzysFBrmgZAApLtfD813gVAAAAAABgAAAD8/AD8AAIAAAAAAADwvwLarPpcbcX1PwJNpgpGJXUIQAAAAAAYAAAA/PwA/AACAAAAAAAA8L8CE4PAyqFF1j8C2j15WKg1/z8AAAAAHAAAAPz8APwAAgAAAAAAAPC/AssyxLEubvK/Akm/fR04Z/8/AAAAABgAAAD8/AD8AAIAAAAAAADwvwKNKO0NvjAAwAK62or9ZXcJQAAAAAAYAAAA/PwA/AACAAAAAAAA8L8C4umVsgxx9r8CxEKtad4xEkAAAAAAGAAAAPz8APwAAgAAAAAAAPC/AhkEVg4tMgLAAk9AE2HDExdAAAAAABgAAAD8/AD8AAIAAAAAAADwvwKkcD0K1yMOwAJzaJHtfH8WQAAAAAAYAAAA/PwA/AACAAAAAAAA8L8CBOeMKO2NEcACKH6MuWsJEUAAAAAAGAAAAPz8APwAAgAAAAAAAPC/AhmV1AloIgzAAjsBTYQNTwhAAAAAABgAAAD8/AD8AAIAAAAAAADwvwJkzF1LyAf6vwJmiGNd3EbhPwAAAAAgAAAA/PwA/AACAAAAAAAA8L8CTaYKRiV1CMACqoJRSZ2Atj8AAAAAGAAAAPz8APwAAgAAAAAAAPC/AgdfmEwVDAvAAoJzRpT2Bva/AAAAABgAAAD8/AD8AAIAAAAAAADwvwKoV8oyxDECwALMf0i/fR0DwAAAAAAYAAAA/PwA/AACAAAAAAAA8L8CYxBYObTIBMACokW28/3UDsAAAAAAGAAAAPz8APwAAgAAAAAAAPC/Aj7o2az6HBDAAtNNYhBYORHAAAAAABgAAAD8/AD8AAIAAAAAAADwvwLu68A5I4oUwALUK2UZ4lgKwAAAAAAYAAAA/PwA/AACAAAAAAAA8L8CkQ96Nqs+E8ACih9j7lpC/b8AAAAAGAAAAPz8APwAAgAAAAAAAPC/AkETYcPTqxfAAuomMQisHOq/AAAAABgAAAD8/AD8AAIAAAAAAADwvwLxhclUwaj3vwIqyxDHurgCwAAAAAAYAAAA/PwA/AACAAAAAAAA8L8Cs3vysFBrAUAC16NwPQrX178AAAAAGAAAAPz8APwAAgAAAAAAAPC/Al2PwvUo3AtAArByaJHtfNc/AAAAABgAAAD8/AD8AAIAAAAAAADwvwIU0ETY8PQLQAKsHFpkO9/9PwAAAAAYAAAA/PwA/AACAAAAAAAA8L8CwoanV8oyE0AC71pCPujZBEAAAAAAGAAAAPz8APwAAgAAAAAAAPC/AjtwzojSXhhAAvCnxks3if0/AAAAABgAAAD8/AD8AAIAAAAAAADwvwLgT42XblIYQAK/nxov3STWPwAAAAAYAAAA/PwA/AACAAAAAAAA8L8CC0YldQIaE0ACyXa+nxov2b8AAAAAASwABAQAAAAAAAAAFAQAAAAAAAAECAQAAAAAAAAIDAQAAAAAAAAMEAQAAAAAAAAQFAQAAAAAAAAQASA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0BHgQAAAAAAAABIAEhBAAAAAAAAAEhASIIDAAAAAAAASEBJgQAAAAAAAABIgEjBAAAAAAAAAEjASQICAAAAAAAASQBJQQAAAAAAAABJQEmCAgAAAAAAAAAAAA=</t>
        </r>
      </text>
    </comment>
    <comment ref="A76" authorId="0" shapeId="0" xr:uid="{66A2C9E6-F0BD-404B-9B2D-17BE004E7B9B}">
      <text>
        <r>
          <rPr>
            <sz val="9"/>
            <color indexed="81"/>
            <rFont val="Segoe UI"/>
            <charset val="1"/>
          </rPr>
          <t>Insight iXlW00001C0000076R0279761703S00000150P02420LAocjBAQBF1NjaVRlZ2ljLmRhdGEuTW9sZWN1bGUBbQF/ARJTY2lUZWdpYy5Nb2xlY3VsZQAAAQFkAv5qAQAAAAIAAgEiGAAAAPz8APwAAgAAAAAAAPC/AmB2Tx4WavO/Auj7qfHSTRPAAAAAABgAAAD8/AD8AAIAAAAAAADwvwI9vVKWIY4FwAKoxks3iUEUwAAAAAAcAAAA/PwA/AACAAAAAAAA8L8CVOOlm8QgDcACFoxK6gQ0D8AAAAAAGAAAAPz8APwAAgAAAAAAAPC/AmAHzhlR2gjAApLLf0i//QPAAAAAABgAAAD8/AD8AAIAAAAAAADwvwKnCkYldQL6vwIRNjy9UhYCwAAAAAAcAAAA/PwA/AACAAAAAAAA8L8C7nw/NV665b8CTDeJQWBlC8AAAAAAGAAAAPz8APwAAgAAAAAAAPC/AkSLbOf7qek/AsuhRbbzfQnAAAAAACAAAAD8/AD8AAIAAAAAAADwvwLSkVz+Q/r7PwJnZmZmZmYRwAAAAAAYAAAA/PwA/AACAAAAAAAA8L8Ci/1l9+Rh9T8CHxZqTfOO/L8AAAAAGAAAAPz8APwAAgAAAAAAAPC/AvXb14FzRgZAAkHxY8xdS/a/AAAAABgAAAD8/AD8AAIAAAAAAADwvwLM7snDQi0QQAIpXI/C9agBwAAAAAAcAAAA/PwA/AACAAAAAAAA8L8Co5I6AU2EFUACx0s3iUFg+L8AAAAAGAAAAPz8APwAAgAAAAAAAPC/AoxK6gQ00RVAAqcKRiV1Apq/AAAAABgAAAD8/AD8AAIAAAAAAADwvwK7SQwCK8cQQALNXUvIBz3pPwAAAAAYAAAA/PwA/AACAAAAAAAA8L8Cx0s3iUHgBkACryXkg57Nuj8AAAAAHAAAAPz8APwAAgAAAAAAAPC/AhZqTfOOU/c/Aoj029eBc+Q/AAAAABgAAAD8/AD8AAIAAAAAAADwvwI5RUdy+Q/xPwJR2ht8YbIAQAAAAAAYAAAA/PwA/AACAAAAAAAA8L8CYVRSJ6CJ2L8CZohjXdzGA0AAAAAAGAAAAPz8APwAAgAAAAAAAPC/AutztRX7y+i/ApVliGNdXA9AAAAAABgAAAD8/AD8AAIAAAAAAADwvwL77evAOSPSPwJ0tRX7y+4TQAAAAAAYAAAA/PwA/AACAAAAAAAA8L8C0NVW7C+7+z8Cat5xio5kEkAAAAAAGAAAAPz8APwAAgAAAAAAAPC/Ald9rrZi/wBAAqXfvg6cMwlAAAAAABgAAAD8/AD8AAIAAAAAAADwvwKdoiO5/IfgPwJ7pSxDHOvgvwAAAAAYAAAA/PwA/AACAAAAAAAA8L8Cfh04Z0Rp778CZMxdS8gH3b8AAAAAGAAAAPz8APwAAgAAAAAAAPC/Akp7gy9Mpvq/Aoc41sVtNOw/AAAAABgAAAD8/AD8AAIAAAAAAADwvwKRD3o2qz7rvwLFjzF3LSEBQAAAAAAYAAAA/PwA/AACAAAAAAAA8L8CxSCwcmiR+L8Cc9cS8kHPC0AAAAAAGAAAAPz8APwAAgAAAAAAAPC/AjEqqRPQRAjAAkZHcvkPaQxAAAAAABgAAAD8/AD8AAIAAAAAAADwvwK5jQbwFsgOwAKiRbbz/VQCQAAAAAAYAAAA/PwA/AACAAAAAAAA8L8Cc9cS8kFPCcACz/dT46Wb7j8AAAAAGAAAAPz8APwAAgAAAAAAAPC/Avw6cM6I0g/AAkLPZtXnatO/AAAAACQAAAD8/AD8AAIAAAAAAADwvwLE0ytlGWIVwAJ0tRX7y+4CQAAAAAAgAAAA/PwA/AACAAAAAAAA8L8CY+5aQj4oG0ACwqikTkAT5T8AAAAAGAAAAPz8APwAAgAAAAAAAPC/AtiBc0aUNhDAArCUZYhjXfW/AAAAAAEmAAQEAAAAAAAAABQEAAAAAAAABAgEAAAAAAAACAwEAAAAAAAADBAEAAAAAAAADAEhBAAAAAAAABAUBAAAAAAAABQYBAAAAAAAABgcCAAAAAAAABggBAAAAAAAACAkBAAAAAAAACABFggMAAAAAAAkKAgMAAAAAAAkOAQAAAAAAAAoLAQAAAAAAAAsMAQAAAAAAAAwNAQAAAAAAAAwASAIAAAAAAAANDgICAAAAAAAODwEAAAAAAAAPAEQBAAAAAAAADwBFgQAAAAAAAABEAERBAAAAAAAAAEQARUEAAAAAAAAAREBEgQAAAAAAAABEgETBAAAAAAAAAETARQEAAAAAAAAARQBFQQAAAAAAAABFgEXBAAAAAAAAAEXARgEAAAAAAAAARgBGQgMAAAAAAABGAEdBAAAAAAAAAEZARoEAAAAAAAAARoBGwgIAAAAAAABGwEcBAAAAAAAAAEcAR0ICAAAAAAAARwBHwQAAAAAAAABHQEeBAAAAAAAAAAAAAA=</t>
        </r>
      </text>
    </comment>
    <comment ref="A77" authorId="0" shapeId="0" xr:uid="{3A9FA8AD-959F-436C-B710-105EFA4C75AC}">
      <text>
        <r>
          <rPr>
            <sz val="9"/>
            <color indexed="81"/>
            <rFont val="Segoe UI"/>
            <charset val="1"/>
          </rPr>
          <t>Insight iXlW00001C0000077R0279761703S00000152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w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g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G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78" authorId="0" shapeId="0" xr:uid="{CDE10031-6CE6-4A80-A54D-27BF4C464153}">
      <text>
        <r>
          <rPr>
            <sz val="9"/>
            <color indexed="81"/>
            <rFont val="Segoe UI"/>
            <charset val="1"/>
          </rPr>
          <t>Insight iXlW00001C0000078R0279761703S00000154P02560LAocjBAQBF1NjaVRlZ2ljLmRhdGEuTW9sZWN1bGUBbQF/ARJTY2lUZWdpYy5Nb2xlY3VsZQAAAQFkAv5qAQAAAAIAAgEkGAAAAPz8APwAAgAAAAAAAPC/AlyPwvUoXBHAAoqw4emVsg3AAAAAABgAAAD8/AD8AAIAAAAAAADwvwJnZmZmZiYXwAJ4CyQofowKwAAAAAAcAAAA/PwA/AACAAAAAAAA8L8CH/RsVn2uGMACat5xio7k/b8AAAAAGAAAAPz8APwAAgAAAAAAAPC/As6qz9VWbBTAAiuHFtnO9+m/AAAAABgAAAD8/AD8AAIAAAAAAADwvwLAfR04Z0QNwAK5jQbwFkjzvwAAAAAcAAAA/PwA/AACAAAAAAAA8L8CTmIQWDk0CsACIGPuWkI+BcAAAAAAGAAAAPz8APwAAgAAAAAAAPC/AnNoke18P/2/AjEIrBxaZAjAAAAAACAAAAD8/AD8AAIAAAAAAADwvwIB3gIJih/3vwI6kst/SP8RwAAAAAAYAAAA/PwA/AACAAAAAAAA8L8CPN9PjZdu6L8Cj3VxGw3g/78AAAAAGAAAAPz8APwAAgAAAAAAAPC/AlAeFmpN8+Y/AiS5/If02wHAAAAAABgAAAD8/AD8AAIAAAAAAADwvwJGtvP91Hj4PwJuxf6ye/ILwAAAAAAYAAAA/PwA/AACAAAAAAAA8L8CKssQx7o4CEACP+jZrPpcC8AAAAAAGAAAAPz8APwAAgAAAAAAAPC/AqFns+pztQ1AAsb+snvysADAAAAAABgAAAD8/AD8AAIAAAAAAADwvwISFD/G3DUHQALvycNCrWnqvwAAAAAYAAAA/PwA/AACAAAAAAAA8L8CF0hQ/Bhz9j8CrD5XW7G/7L8AAAAAHAAAAPz8APwAAgAAAAAAAPC/AtBm1edqK9Y/AoQvTKYKRsU/AAAAABgAAAD8/AD8AAIAAAAAAADwvwL4U+Olm8TiPwK2hHzQs1n6PwAAAAAYAAAA/PwA/AACAAAAAAAA8L8Cdy0hH/Rs4r8C+8vuycPCBEAAAAAAGAAAAPz8APwAAgAAAAAAAPC/AgpoImx4etW/Aq8l5IOeTRBAAAAAABgAAAD8/AD8AAIAAAAAAADwvwKMSuoENBHxPwJ0tRX7y24SQAAAAAAYAAAA/PwA/AACAAAAAAAA8L8Cam/whcnUAUACEAu1pnlHDUAAAAAAGAAAAPz8APwAAgAAAAAAAPC/AouO5PIf0v8/Aq2L22gAbwFAAAAAACAAAAD8/AD8AAIAAAAAAADwvwJpke18PzUJQAIZBFYOLbLzPwAAAAAYAAAA/PwA/AACAAAAAAAA8L8C9GxWfa42EkACvJaQD3o2/D8AAAAAGAAAAPz8APwAAgAAAAAAAPC/AgYSFD/G3BZAAvcGX5hMFeo/AAAAABgAAAD8/AD8AAIAAAAAAADwvwL0/dR46eYVQAKV9gZfmEzlvwAAAAAgAAAA/PwA/AACAAAAAAAA8L8CBqOSOgGNGkAC/DpwzojS+b8AAAAAGAAAAPz8APwAAgAAAAAAAPC/AvSOU3QklxlAAqjGSzeJwQjAAAAAABgAAAD8/AD8AAIAAAAAAADwvwKHp1fKMsTvvwJwXwfOGVHgvwAAAAAgAAAA/PwA/AACAAAAAAAA8L8CIv32deCcAsACQ61p3nGKxj8AAAAAGAAAAPz8APwAAgAAAAAAAPC/AlHaG3xhMgPAArYV+8vuyfo/AAAAABgAAAD8/AD8AAIAAAAAAADwvwLKw0Ktad4NwAJTJ6CJsOECQAAAAAAYAAAA/PwA/AACAAAAAAAA8L8C+aBns+pzDsACWRe30QDeDkAAAAAAGAAAAPz8APwAAgAAAAAAAPC/ArCUZYhjXQTAAnS1FfvLrhJAAAAAABgAAAD8/AD8AAIAAAAAAADwvwJtVn2utmLzvwJxzojS3uAPQAAAAAAYAAAA/PwA/AACAAAAAAAA8L8CD5wzorQ38r8Cat5xio7kA0AAAAAAASgABAQAAAAAAAAAFAQAAAAAAAAECAQAAAAAAAAIDAQAAAAAAAAMEAQAAAAAAAAQFAQAAAAAAAAUGAQAAAAAAAAYHAgAAAAAAAAYIAQAAAAAAAAgJAQAAAAAAAAgARwIDAAAAAAAJCgIDAAAAAAAJDgEAAAAAAAAKCwEAAAAAAAALDAICAAAAAAAMDQEAAAAAAAANDgICAAAAAAAODwEAAAAAAAAPAEQBAAAAAAAADwBHAQAAAAAAAABEAERCAwAAAAAAAEQARUEAAAAAAAAAREBEgQAAAAAAAABEgETCAgAAAAAAAETARQEAAAAAAAAARQBFQgIAAAAAAABFQEWBAAAAAAAAAEWARcEAAAAAAAAARcBGAQAAAAAAAABGAEZBAAAAAAAAAEZARoEAAAAAAAAARoBGwQAAAAAAAABHAEdBAAAAAAAAAEdAR4EAAAAAAAAAR4BHwgMAAAAAAABHgEjBAAAAAAAAAEfASAEAAAAAAAAASABIQgIAAAAAAABIQEiBAAAAAAAAAEiASMICAAAAAAAAAAAAA==</t>
        </r>
      </text>
    </comment>
    <comment ref="A79" authorId="0" shapeId="0" xr:uid="{C15431B2-2A04-4961-8B55-14FF397C5129}">
      <text>
        <r>
          <rPr>
            <sz val="9"/>
            <color indexed="81"/>
            <rFont val="Segoe UI"/>
            <charset val="1"/>
          </rPr>
          <t>Insight iXlW00001C0000079R0279761703S00000156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c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Ad4CCYqfAcAC16NwPQrX8T8AAAAAGAAAAPz8APwAAgAAAAAAAPC/AgR4CyQo/gzAAsE5I0p7g/k/AAAAABgAAAD8/AD8AAIAAAAAAADwvwIJih9j7loPwAIvbqMBvIUIQAAAAAAYAAAA/PwA/AACAAAAAAAA8L8C1CtlGeJYBsACKA8LtaY5EEAAAAAAGAAAAPz8APwAAgAAAAAAAPC/AqMjufyH9PW/AlvTvOMUnQxAAAAAABgAAAD8/AD8AAIAAAAAAADwvwIuIR/0bFbpPwJd/kP67evIPwAAAAAgAAAA/PwA/AACAAAAAAAA8L8C95fdk4eFur8C3UYDeAsk8L8AAAAAGAAAAPz8APwAAgAAAAAAAPC/AubQItv5fvm/Apt3nKIjueq/AAAAABgAAAD8/AD8AAIAAAAAAADwvwJFR3L5D+kDwAI7AU2EDU8AwAAAAAAYAAAA/PwA/AACAAAAAAAA8L8C+cJkqmDUD8AC16NwPQrX/b8AAAAAGAAAAPz8APwAAgAAAAAAAPC/Au0vuycPSxLAAkT67evAOd+/AAAAABgAAAD8/AD8AAIAAAAAAADwvwIHgZVDi2wNwAIukKD4MebmPwAAAAAYAAAA/PwA/AACAAAAAAAA8L8CUwWjkjqBAcAC8tJNYhBY4T8AAAAAJAAAAPz8APwAAgAAAAAAAPC/AubQItv5fhPAAkA1XrpJjAjAAAAAABgAAAD8/AD8AAIAAAAAAADwvwLKVMGopE7+vwLek4eFWlML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oBHgQAAAAAAAABGwEcBAAAAAAAAAEcAR0ICAAAAAAAAAAAAA==</t>
        </r>
      </text>
    </comment>
    <comment ref="A80" authorId="0" shapeId="0" xr:uid="{113C117F-83CF-4AC9-8DBB-203C46F452D6}">
      <text>
        <r>
          <rPr>
            <sz val="9"/>
            <color indexed="81"/>
            <rFont val="Segoe UI"/>
            <charset val="1"/>
          </rPr>
          <t>Insight iXlW00001C0000080R0279761703S00000158P02488LAocjBAQBF1NjaVRlZ2ljLmRhdGEuTW9sZWN1bGUBbQF/ARJTY2lUZWdpYy5Nb2xlY3VsZQAAAQFkAv5qAQAAAAIAAgEjGAAAAPz8APwAAgAAAAAAAPC/Ar7BFyZTBQVAAjcawFsgwQ/AAAAAABgAAAD8/AD8AAIAAAAAAADwvwJahjjWxW3/PwKKH2PuWkIVwAAAAAAcAAAA/PwA/AACAAAAAAAA8L8CsAPnjCjt3T8CEOm3rwOnFcAAAAAAGAAAAPz8APwAAgAAAAAAAPC/AgaBlUOLbNe/AkSLbOf7qRDAAAAAABgAAAD8/AD8AAIAAAAAAADwvwK+wRcmUwXTPwLjx5i7lpAGwAAAAAAcAAAA/PwA/AACAAAAAAAA8L8CTmIQWDm0/D8C1zTvOEXHBcAAAAAAGAAAAPz8APwAAgAAAAAAAPC/AoDZPXlYqANAAmTMXUvIB/a/AAAAACAAAAD8/AD8AAIAAAAAAADwvwJvEoPAyqEPQALb+X5qvHT0vwAAAAAYAAAA/PwA/AACAAAAAAAA8L8C0pFc/kP6+T8Ck6mCUUmdwL8AAAAAGAAAAPz8APwAAgAAAAAAAPC/At1GA3gLJAFAAuLplbIMcfQ/AAAAABgAAAD8/AD8AAIAAAAAAADwvwLUvOMUHUkMQAIuIR/0bFb9PwAAAAAYAAAA/PwA/AACAAAAAAAA8L8CjNtoAG8BDkAClrIMcayLCkAAAAAAGAAAAPz8APwAAgAAAAAAAPC/Ak2EDU+vlARAAj/G3LWE/BBAAAAAABwAAAD8/AD8AAIAAAAAAADwvwI7cM6I0t7yPwKgGi/dJIYNQAAAAAAYAAAA/PwA/AACAAAAAAAA8L8Cd76fGi/d7j8C2c73U+OlAUAAAAAAHAAAAPz8APwAAgAAAAAAAPC/Atlfdk8eFtK/AvYoXI/C9fU/AAAAABgAAAD8/AD8AAIAAAAAAADwvwIL16NwPQr7vwJteHqlLEP+PwAAAAAYAAAA/PwA/AACAAAAAAAA8L8CkQ96Nqu+BsACT0ATYcPT7T8AAAAAGAAAAPz8APwAAgAAAAAAAPC/Ao6XbhKDABHAAp7vp8ZLN/c/AAAAABgAAAD8/AD8AAIAAAAAAADwvwIxKqkT0AQSwALlYaHWNG8HQAAAAAAYAAAA/PwA/AACAAAAAAAA8L8CVjAqqRPQCsACCM4ZUdobD0AAAAAAGAAAAPz8APwAAgAAAAAAAPC/AgjOGVHaG/+/Ak2mCkYl9QpAAAAAABgAAAD8/AD8AAIAAAAAAADwvwLfcYqO5PK/PwKk374OnDOyvwAAAAAgAAAA/PwA/AACAAAAAAAA8L8CSHL5D+m36b8C6Ugu/yH9878AAAAAGAAAAPz8APwAAgAAAAAAAPC/AlmoNc07TgLAAngLJCh+jPC/AAAAABgAAAD8/AD8AAIAAAAAAADwvwJBguLHmLsJwAL7XG3F/rIBwAAAAAAYAAAA/PwA/AACAAAAAAAA8L8CBOeMKO3NEsAChXzQs1n1/78AAAAAGAAAAPz8APwAAgAAAAAAAPC/AvMf0m9fBxXAAi4hH/RsVuO/AAAAABgAAAD8/AD8AAIAAAAAAADwvwL/snvysFARwALNO07RkVziPwAAAAAYAAAA/PwA/AACAAAAAAAA8L8C/0P67evABsAC2IFzRpT21j8AAAAAGAAAAPz8APwAAgAAAAAAAPC/AocW2c730wHAAqtgVFInoPs/AAAAABgAAAD8/AD8AAIAAAAAAADwvwKb5h2n6EgFwALy0k1iENgMwAAAAAAYAAAA/PwA/AACAAAAAAAA8L8CCYofY+7aEkACutqK/WX37D8AAAAAGAAAAPz8APwAAgAAAAAAAPC/AiGwcmiRbRhAAhpR2ht8Yfc/AAAAABgAAAD8/AD8AAIAAAAAAADwvwLAWyBB8SMdQAKx4emVsgzhPwAAAAABJwAEBAAAAAAAAAAUBAAAAAAAAAQIBAAAAAAAAAgMBAAAAAAAAAwQBAAAAAAAABAUBAAAAAAAABQYBAAAAAAAABgcCAAAAAAAABggBAAAAAAAACAkBAAAAAAAACABFggMAAAAAAAkKAgMAAAAAAAkOAQAAAAAAAAoLAQAAAAAAAAoASA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EgASEEAAAAAAAAASEBIgQAAAAAAAAAAAAA</t>
        </r>
      </text>
    </comment>
    <comment ref="A81" authorId="0" shapeId="0" xr:uid="{C8888F1E-57EF-482E-8D2C-285CF36A44B3}">
      <text>
        <r>
          <rPr>
            <sz val="9"/>
            <color indexed="81"/>
            <rFont val="Segoe UI"/>
            <charset val="1"/>
          </rPr>
          <t>Insight iXlW00001C0000081R0279761703S00000160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wAAAD8/AD8AAIAAAAAAADwvwIkKH6MuesCQAISNjy9UpYPQAAAAAAY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JAAAAPz8APwAAgAAAAAAAPC/Aq2L22gAb9U/Agg9m1WfKxDAAAAAACQAAAD8/AD8AAIAAAAAAADwvwJ5eqUsQ5wSwAL+ZffkYaHmvw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82" authorId="0" shapeId="0" xr:uid="{9E472C47-3E0F-4B22-99C1-2245F6F2803F}">
      <text>
        <r>
          <rPr>
            <sz val="9"/>
            <color indexed="81"/>
            <rFont val="Segoe UI"/>
            <charset val="1"/>
          </rPr>
          <t>Insight iXlW00001C0000082R0279761703S00000162P02488LAocjBAQBF1NjaVRlZ2ljLmRhdGEuTW9sZWN1bGUBbQF/ARJTY2lUZWdpYy5Nb2xlY3VsZQAAAQFkAv5qAQAAAAIAAgEjGAAAAPz8APwAAgAAAAAAAPC/AszuycNCLQFAAmKh1jTvuBDAAAAAABgAAAD8/AD8AAIAAAAAAADwvwIW+8vuycP0PwJCz2bV56oVwAAAAAAcAAAA/PwA/AACAAAAAAAA8L8C0ETY8PRKyb8CppvEILAyFcAAAAAAGAAAAPz8APwAAgAAAAAAAPC/Ao9TdCSX/+q/AlR0JJf/kA/AAAAAABgAAAD8/AD8AAIAAAAAAADwvwLUK2UZ4lh3PwJbQj7o2awFwAAAAAAcAAAA/PwA/AACAAAAAAAA8L8C3GgAb4EE+D8Ck6mCUUmdBsAAAAAAGAAAAPz8APwAAgAAAAAAAPC/Auj7qfHSzQJAAqabxCCwcvm/AAAAACAAAAD8/AD8AAIAAAAAAADwvwLAfR04Z8QOQAIWak3zjlP7vwAAAAAYAAAA/PwA/AACAAAAAAAA8L8CE4PAyqFF+z8CJEp7gy9Mzr8AAAAAGAAAAPz8APwAAgAAAAAAAPC/AlyPwvUoXANAAlmoNc07TvE/AAAAABgAAAD8/AD8AAIAAAAAAADwvwK7SQwCKwcPQAIooImw4en2PwAAAAAYAAAA/PwA/AACAAAAAAAA8L8C1sVtNIA3EUAC2IFzRpT2BkAAAAAAGAAAAPz8APwAAgAAAAAAAPC/AnnpJjEILApAAu4NvjCZqg9AAAAAABwAAAD8/AD8AAIAAAAAAADwvwI2XrpJDAL9PwIGEhQ/xtwMQAAAAAAYAAAA/PwA/AACAAAAAAAA8L8C4C2QoPgx9j8CQmDl0CJbAUAAAAAAHAAAAPz8APwAAgAAAAAAAPC/AvT91HjpJqE/AsdLN4lBYPg/AAAAABgAAAD8/AD8AAIAAAAAAADwvwIfFmpN8470vwK38/3UeOkBQAAAAAAYAAAA/PwA/AACAAAAAAAA8L8CjSjtDb4w9b8CnMQgsHLoDUAAAAAAGAAAAPz8APwAAgAAAAAAAPC/Ak7zjlN0JAXAAhueXinL0BFAAAAAABgAAAD8/AD8AAIAAAAAAADwvwLl8h/Sb18PwAJdj8L1KFwNQAAAAAAYAAAA/PwA/AACAAAAAAAA8L8CdZMYBFYOD8ACd76fGi9dAUAAAAAAGAAAAPz8APwAAgAAAAAAAPC/AqcKRiV1ggTAAkjhehSuR/c/AAAAABgAAAD8/AD8AAIAAAAAAADwvwLHSzeJQWDNPwLCFyZTBaOiPwAAAAAYAAAA/PwA/AACAAAAAAAA8L8CggTFjzF3678CNYC3QILi778AAAAAGAAAAPz8APwAAgAAAAAAAPC/AuXyH9JvXwLAAoofY+5aQuK/AAAAABgAAAD8/AD8AAIAAAAAAADwvwLM7snDQi0FwALvycNCrWnsPwAAAAAYAAAA/PwA/AACAAAAAAAA8L8CSFD8GHNXEMAC3GgAb4EE9T8AAAAAGAAAAPz8APwAAgAAAAAAAPC/AjerPldbsRTAAtKRXP5D+tE/AAAAABgAAAD8/AD8AAIAAAAAAADwvwJfmEwVjEoTwAJIUPwYc9fyvwAAAAAYAAAA/PwA/AACAAAAAAAA8L8C+n5qvHQTC8ACnoAmwoan+b8AAAAAGAAAAPz8APwAAgAAAAAAAPC/AktZhjjWRQjAAnUkl/+QfgjAAAAAACQAAAD8/AD8AAIAAAAAAADwvwJq3nGKjqQXwAJYyjLEsa4BwAAAAAAYAAAA/PwA/AACAAAAAAAA8L8C93XgnBGlE0AC8x/Sb18H1j8AAAAAGAAAAPz8APwAAgAAAAAAAPC/AiZTBaOSehlAArWmeccpOuY/AAAAABgAAAD8/AD8AAIAAAAAAADwvwJApN++DpwdQAJ8YTJVMCrZvwAAAAABJwAEBAAAAAAAAAAUBAAAAAAAAAQIBAAAAAAAAAgMBAAAAAAAAAwQBAAAAAAAABAUBAAAAAAAABQYBAAAAAAAABgcCAAAAAAAABggBAAAAAAAACAkBAAAAAAAACABFggMAAAAAAAkKAgMAAAAAAAkOAQAAAAAAAAoLAQAAAAAAAAoASA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RwBHwQAAAAAAAABHQEeBAAAAAAAAAEgASEEAAAAAAAAASEBIgQAAAAAAAAAAAAA</t>
        </r>
      </text>
    </comment>
    <comment ref="A83" authorId="0" shapeId="0" xr:uid="{40B6BAD3-66D0-4AE1-8242-BD8AAE0E5144}">
      <text>
        <r>
          <rPr>
            <sz val="9"/>
            <color indexed="81"/>
            <rFont val="Segoe UI"/>
            <charset val="1"/>
          </rPr>
          <t>Insight iXlW00001C0000083R0279761703S00000164P02288LAocjBAQBF1NjaVRlZ2ljLmRhdGEuTW9sZWN1bGUBbQF/ARJTY2lUZWdpYy5Nb2xlY3VsZQAAAQFkAv5qAQAAAAIAAgEgGAAAAPz8APwAAgAAAAAAAPC/ApOpglFJ3RPAAlafq63YX+g/AAAAABgAAAD8/AD8AAIAAAAAAADwvwIoDwu1pnkVwAIs1JrmHacBQAAAAAAcAAAA/PwA/AACAAAAAAAA8L8C9dvXgXNGEcACm3ecoiM5CkAAAAAAGAAAAPz8APwAAgAAAAAAAPC/AlqGONbF7QbAAnpYqDXNOwdAAAAAABgAAAD8/AD8AAIAAAAAAADwvwIwuycPC7UDwAJF2PD0Sln3PwAAAAAcAAAA/PwA/AACAAAAAAAA8L8ClyGOdXEbDMACokW28/3U2D8AAAAAGAAAAPz8APwAAgAAAAAAAPC/AjWAt0CC4gjAAkVHcvkP6fC/AAAAACAAAAD8/AD8AAIAAAAAAADwvwJO845TdKQQwALY8PRKWQYBwAAAAAAYAAAA/PwA/AACAAAAAAAA8L8CSp2AJsKG+r8CiIVa07zj9r8AAAAAGAAAAPz8APwAAgAAAAAAAPC/At21hHzQs/G/ArXIdr6fmgbAAAAAABgAAAD8/AD8AAIAAAAAAADwvwKL/WX35GH8vwI/V1uxv6wQwAAAAAAYAAAA/PwA/AACAAAAAAAA8L8C8fRKWYY47r8CBoGVQ4usFcAAAAAAGAAAAPz8APwAAgAAAAAAAPC/AnP5D+m3r+E/As3MzMzMTBXAAAAAABwAAAD8/AD8AAIAAAAAAADwvwLZ8PRKWYbzPwKY3ZOHhdoPwAAAAAAYAAAA/PwA/AACAAAAAAAA8L8CUwWjkjoB2T8CCYofY+7aBcAAAAAAHAAAAPz8APwAAgAAAAAAAPC/Ai//If32deg/AvOwUGuad/S/AAAAABgAAAD8/AD8AAIAAAAAAADwvwK8BRIUP0YBQAIMk6mCUUnnvwAAAAAYAAAA/PwA/AACAAAAAAAA8L8CDk+vlGUIA0AC4C2QoPgx6D8AAAAAGAAAAPz8APwAAgAAAAAAAPC/Av7UeOkmMQ5AAs6qz9VW7PQ/AAAAABgAAAD8/AD8AAIAAAAAAADwvwLPiNLe4MsTQALVeOkmMQjYPwAAAAAYAAAA/PwA/AACAAAAAAAA8L8CQs9m1efqEkACQYLix5i78b8AAAAAGAAAAPz8APwAAgAAAAAAAPC/AltCPujZrApAAh8Wak3zjvq/AAAAABgAAAD8/AD8AAIAAAAAAADwvwIE54wo7Q3gvwKjtDf4wmTevwAAAAAgAAAA/PwA/AACAAAAAAAA8L8CseHplbIM478CmN2Th4Va8D8AAAAAGAAAAPz8APwAAgAAAAAAAPC/Aoxs5/up8eQ/AhwN4C2QoP0/AAAAABgAAAD8/AD8AAIAAAAAAADwvwLByqFFtvPhPwInwoanV8oKQAAAAAAYAAAA/PwA/AACAAAAAAAA8L8CDeAtkKD4/D8C2IFzRpS2EEAAAAAAGAAAAPz8APwAAgAAAAAAAPC/AgmsHFpkOwlAAqGJsOHpFQxAAAAAABgAAAD8/AD8AAIAAAAAAADwvwJ7FK5H4foJQAJApN++DhwAQAAAAAAYAAAA/PwA/AACAAAAAAAA8L8CSS7/If32/z8C/Rhz1xLy8j8AAAAAGAAAAPz8APwAAgAAAAAAAPC/Al5LyAc9mwNAAqCrrdhfds+/AAAAACQAAAD8/AD8AAIAAAAAAADwvwJGJXUCmgjpvwL/snvysBAQ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84" authorId="0" shapeId="0" xr:uid="{E33CE224-A8BA-45F7-94E8-ACF094A1AF1E}">
      <text>
        <r>
          <rPr>
            <sz val="9"/>
            <color indexed="81"/>
            <rFont val="Segoe UI"/>
            <charset val="1"/>
          </rPr>
          <t>Insight iXlW00001C0000084R0279761703S00000166P02356LAocjBAQBF1NjaVRlZ2ljLmRhdGEuTW9sZWN1bGUBbQF/ARJTY2lUZWdpYy5Nb2xlY3VsZQAAAQFkAv5qAQAAAAIAAgEhGAAAAPz8APwAAgAAAAAAAPC/Atv5fmq89BFAAnGsi9toAATAAAAAABgAAAD8/AD8AAIAAAAAAADwvwKCc0aU9kYRQAIHgZVDi+wPwAAAAAAcAAAA/PwA/AACAAAAAAAA8L8C6bevA+eMB0ACCYofY+5aEsAAAAAAGAAAAPz8APwAAgAAAAAAAPC/ApF++zpwzvs/AhgmUwWjkg3AAAAAABgAAAD8/AD8AAIAAAAAAADwvwL3l92Th4X+PwJKe4MvTKYBwAAAAAAcAAAA/PwA/AACAAAAAAAA8L8CT9GRXP5DCkAC7nw/NV66+b8AAAAAGAAAAPz8APwAAgAAAAAAAPC/AgHeAgmKnwtAAiZ1ApoIG76/AAAAACAAAAD8/AD8AAIAAAAAAADwvwKOBvAWSFATQAJSSZ2AJsLePwAAAAAYAAAA/PwA/AACAAAAAAAA8L8CmbuWkA/6AUACYxBYObTI6D8AAAAAGAAAAPz8APwAAgAAAAAAAPC/AhWuR+F6FAJAAhkEVg4tMgJAAAAAABwAAAD8/AD8AAIAAAAAAADwvwKMSuoENBELQALZzvdT4yUKQAAAAAAYAAAA/PwA/AACAAAAAAAA8L8CI2x4eqWsCEACFoxK6gT0EkAAAAAAGAAAAPz8APwAAgAAAAAAAPC/AhI2PL1Slvo/Ano2qz5X2xRAAAAAABgAAAD8/AD8AAIAAAAAAADwvwImUwWjkjrhPwIaUdobfOEQQAAAAAAYAAAA/PwA/AACAAAAAAAA8L8CzczMzMzM6j8CqoJRSZ0ABkAAAAAAHAAAAPz8APwAAgAAAAAAAPC/AqMjufyH9Ku/AoPAyqFFtvg/AAAAABgAAAD8/AD8AAIAAAAAAADwvwIdyeU/pN/4vwLsUbgehev4PwAAAAAYAAAA/PwA/AACAAAAAAAA8L8CSp2AJsKGAsAC9ihcj8L10D8AAAAAGAAAAPz8APwAAgAAAAAAAPC/AhHHuriNhg7AAtS84xQdydE/AAAAABgAAAD8/AD8AAIAAAAAAADwvwIrhxbZzjcSwAJMyAc9m1X5PwAAAAAYAAAA/PwA/AACAAAAAAAA8L8CY3/ZPXlYDsAC/Yf029cBB0AAAAAAGAAAAPz8APwAAgAAAAAAAPC/AptVn6utWALAAkm/fR045wZAAAAAABgAAAD8/AD8AAIAAAAAAADwvwJU46WbxCDqPwKKsOHplbLUPwAAAAAYAAAA/PwA/AACAAAAAAAA8L8CXCBB8WPM1T8CETY8vVKW8b8AAAAAGAAAAPz8APwAAgAAAAAAAPC/AoxK6gQ0EfK/AuXyH9JvX/a/AAAAABgAAAD8/AD8AAIAAAAAAADwvwIH8BZIUPwAwAKamZmZmZnRvwAAAAAYAAAA/PwA/AACAAAAAAAA8L8CkQ96Nqu+DMACdEaU9gZf4r8AAAAAGAAAAPz8APwAAgAAAAAAAPC/Ai2yne+nRhDAAv0Yc9cS8v+/AAAAABgAAAD8/AD8AAIAAAAAAADwvwJhw9MrZZkIwAL2KFyPwvUIwAAAAAAYAAAA/PwA/AACAAAAAAAA8L8CH/RsVn2u+b8CVHQkl/+QBsAAAAAAGAAAAPz8APwAAgAAAAAAAPC/Ajy9UpYhjuO/AswQx7q4jQ/AAAAAACQAAAD8/AD8AAIAAAAAAADwvwLWVuwvuycWwAIhQfFjzF0CwAAAAAAYAAAA/PwA/AACAAAAAAAA8L8ClrIMcawLAMACSp2AJsKG8z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IAQAAAAAAAABGgEbCAgAAAAAAAEbARwEAAAAAAAAARsBHwQAAAAAAAABHAEdCAgAAAAAAAEdAR4EAAAAAAAAAAAAAA==</t>
        </r>
      </text>
    </comment>
    <comment ref="A85" authorId="0" shapeId="0" xr:uid="{DD29ABED-1887-4958-AE0C-7BF64986750E}">
      <text>
        <r>
          <rPr>
            <sz val="9"/>
            <color indexed="81"/>
            <rFont val="Segoe UI"/>
            <charset val="1"/>
          </rPr>
          <t>Insight iXlW00001C0000085R0279761703S00000168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wAAAD8/AD8AAIAAAAAAADwvwLLMsSxLm78vwI2zTtO0ZEQwAAAAAAY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86" authorId="0" shapeId="0" xr:uid="{B5259039-3F62-4459-9FA3-CEC775D193E2}">
      <text>
        <r>
          <rPr>
            <sz val="9"/>
            <color indexed="81"/>
            <rFont val="Segoe UI"/>
            <charset val="1"/>
          </rPr>
          <t>Insight iXlW00001C0000086R0279761703S00000170P02556LAocjBAQBF1NjaVRlZ2ljLmRhdGEuTW9sZWN1bGUBbQF/ARJTY2lUZWdpYy5Nb2xlY3VsZQAAAQFkAv5qAQAAAAIAAgEkGAAAAPz8APwAAgAAAAAAAPC/AsWxLm6jAfu/AuC+Dpwz4hHAAAAAABgAAAD8/AD8AAIAAAAAAADwvwIoDwu1pnkJwALvOEVHcnkRwAAAAAAcAAAA/PwA/AACAAAAAAAA8L8Cxm00gLfADsACeekmMQgsCMAAAAAAGAAAAPz8APwAAgAAAAAAAPC/AuY/pN++DgjAAngtIR/0bPy/AAAAABgAAAD8/AD8AAIAAAAAAADwvwJBE2HD0yv4vwI5RUdy+Q/+vwAAAAAcAAAA/PwA/AACAAAAAAAA8L8C6wQ0ETY8678CAiuHFtnOCcAAAAAAGAAAAPz8APwAAgAAAAAAAPC/Ag8tsp3vp+Q/AuM2GsBboArAAAAAACAAAAD8/AD8AAIAAAAAAADwvwJTJ6CJsOH0PwLByqFFtrMSwAAAAAAYAAAA/PwA/AACAAAAAAAA8L8C18VtNIC39z8CJuSDns2qAMAAAAAAGAAAAPz8APwAAgAAAAAAAPC/AraEfNCz2QdAAl8pyxDHOgDAAAAAABwAAAD8/AD8AAIAAAAAAADwvwKamZmZmRkQQAJF2PD0StkIwAAAAAAYAAAA/PwA/AACAAAAAAAA8L8Cs3vysFDrFUAC6dms+lztBcAAAAAAGAAAAPz8APwAAgAAAAAAAPC/Aqrx0k1ikBdAArwFEhQ/xvS/AAAAABgAAAD8/AD8AAIAAAAAAADwvwKIhVrTvGMTQAJ9PzVeuknMvwAAAAAYAAAA/PwA/AACAAAAAAAA8L8CpHA9CtcjC0ACUkmdgCbC4r8AAAAAHAAAAPz8APwAAgAAAAAAAPC/Aucdp+hILgFAApkqGJXUCdA/AAAAABgAAAD8/AD8AAIAAAAAAADwvwIgY+5aQr4AQAI8TtGRXP77PwAAAAAYAAAA/PwA/AACAAAAAAAA8L8CDXGsi9voCkACrBxaZDtfBEAAAAAAGAAAAPz8APwAAgAAAAAAAPC/Aka28/3UeApAAjzfT42XLhBAAAAAABgAAAD8/AD8AAIAAAAAAADwvwIj2/l+arz/PwJa9bnaiv0SQAAAAAAYAAAA/PwA/AACAAAAAAAA8L8CkX77OnDO5j8CXkvIBz2bD0AAAAAAGAAAAPz8APwAAgAAAAAAAPC/Aq5p3nGKjug/ApOpglFJnQNAAAAAABgAAAD8/AD8AAIAAAAAAADwvwKMbOf7qfHuPwL0jlN0JJflvwAAAAAgAAAA/PwA/AACAAAAAAAA8L8CPN9PjZdu3r8Cd76fGi/d0L8AAAAAGAAAAPz8APwAAgAAAAAAAPC/AhDpt68D5+q/AsiYu5aQD/M/AAAAABgAAAD8/AD8AAIAAAAAAADwvwJO0ZFc/kMCwAKkcD0K16P5PwAAAAAYAAAA/PwA/AACAAAAAAAA8L8Cq8/VVuwvBcACvlKWIY51CEAAAAAAGAAAAPz8APwAAgAAAAAAAPC/AopBYOXQIvm/Ap6AJsKGZxBAAAAAABgAAAD8/AD8AAIAAAAAAADwvwKmm8QgsHLAvwJNFYxK6oQNQAAAAAAYAAAA/PwA/AACAAAAAAAA8L8CJEp7gy9Mzj8C4noUrkfhAUAAAAAAGAAAAPz8APwAAgAAAAAAAPC/ArwFEhQ/xvs/ArTqc7UVewFAAAAAABgAAAD8/AD8AAIAAAAAAADwvwI1gLdAguIKwAI1gLdAguLhPwAAAAAYAAAA/PwA/AACAAAAAAAA8L8ChJ7Nqs9VDcAC7MA5I0p7278AAAAAGAAAAPz8APwAAgAAAAAAAPC/AmWqYFRSpxTAAqkT0ETY8NS/AAAAABgAAAD8/AD8AAIAAAAAAADwvwK0WfW52koXwAJSuB6F61HwPwAAAAAYAAAA/PwA/AACAAAAAAAA8L8C1zTvOEVHHcACFNBE2PD08T8AAAAAASgABAQAAAAAAAAAFAQAAAAAAAAECAQAAAAAAAAIDAQAAAAAAAAMEAQAAAAAAAAMAS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ZAR8EAAAAAAAAARoBGwgIAAAAAAABGwEcBAAAAAAAAAEcAR0ICAAAAAAAAR0BHgQAAAAAAAABIAEhBAAAAAAAAAEhASIEAAAAAAAAASIBIwQAAAAAAAAAAAAA</t>
        </r>
      </text>
    </comment>
    <comment ref="A87" authorId="0" shapeId="0" xr:uid="{BC3D9448-69C4-4085-9D0E-AC9D7B22EEBE}">
      <text>
        <r>
          <rPr>
            <sz val="9"/>
            <color indexed="81"/>
            <rFont val="Segoe UI"/>
            <charset val="1"/>
          </rPr>
          <t>Insight iXlW00001C0000087R0279761703S00000172P02488LAocjBAQBF1NjaVRlZ2ljLmRhdGEuTW9sZWN1bGUBbQF/ARJTY2lUZWdpYy5Nb2xlY3VsZQAAAQFkAv5qAQAAAAIAAgEjGAAAAPz8APwAAgAAAAAAAPC/AgHeAgmKHwTAAnsUrkfhehDAAAAAABgAAAD8/AD8AAIAAAAAAADwvwKY3ZOHhdoPwAKSXP5D+m0OwAAAAAAcAAAA/PwA/AACAAAAAAAA8L8CpU5AE2HDEcACjNtoAG8BA8AAAAAAGAAAAPz8APwAAgAAAAAAAPC/ApwzorQ3eAvAAtNNYhBYOfS/AAAAABgAAAD8/AD8AAIAAAAAAADwvwJ7FK5H4Xr/vwIMk6mCUUn5vwAAAAAcAAAA/PwA/AACAAAAAAAA8L8Cp+hILv8h+L8CjErqBDQRCMAAAAAAGAAAAPz8APwAAgAAAAAAAPC/Aj29UpYhjqW/AvAWSFD8mArAAAAAACAAAAD8/AD8AAIAAAAAAADwvwKoV8oyxLHaPwL7y+7JwwITwAAAAAAYAAAA/PwA/AACAAAAAAAA8L8C4noUrkfh7j8ChzjWxW20AcAAAAAAGAAAAPz8APwAAgAAAAAAAPC/AoNRSZ2ApgNAAq36XG3F/gLAAAAAABwAAAD8/AD8AAIAAAAAAADwvwIjbHh6pawKQAJE+u3rwLkMwAAAAAAYAAAA/PwA/AACAAAAAAAA8L8CdZMYBFZOE0AC/Yf029eBC8AAAAAAGAAAAPz8APwAAgAAAAAAAPC/AqVOQBNhwxVAApDC9ShcjwDAAAAAABgAAAD8/AD8AAIAAAAAAADwvwJxrIvbaEASQALDZKpgVFLrvwAAAAAYAAAA/PwA/AACAAAAAAAA8L8C48eYu5aQCEACf2q8dJMY8L8AAAAAHAAAAPz8APwAAgAAAAAAAPC/AvLSTWIQWP8/Ai9uowG8BVI/AAAAABgAAAD8/AD8AAIAAAAAAADwvwKgq63YX/YAQAJxzojS3uD3PwAAAAAYAAAA/PwA/AACAAAAAAAA8L8Ctch2vp8a7T8CL26jAbwFA0AAAAAAGAAAAPz8APwAAgAAAAAAAPC/AhiV1AloIvE/AvmgZ7Pq8w5AAAAAABgAAAD8/AD8AAIAAAAAAADwvwIlBoGVQ4sDQAJnZmZmZuYRQAAAAAAYAAAA/PwA/AACAAAAAAAA8L8C0NVW7C87DUAC18VtNIC3DEAAAAAAGAAAAPz8APwAAgAAAAAAAPC/AnE9Ctej8AtAAgyTqYJRyQBAAAAAABgAAAD8/AD8AAIAAAAAAADwvwLPiNLe4AvlPwL1SlmGONbnvwAAAAAgAAAA/PwA/AACAAAAAAAA8L8CyeU/pN++5r8C1sVtNIC3wL8AAAAAGAAAAPz8APwAAgAAAAAAAPC/AgRWDi2yneu/AtS84xQdyfU/AAAAABgAAAD8/AD8AAIAAAAAAADwvwInMQisHNoBwAKTqYJRSZ3/PwAAAAAYAAAA/PwA/AACAAAAAAAA8L8CNs07TtERA8ACyeU/pN++C0AAAAAAGAAAAPz8APwAAgAAAAAAAPC/Aq5H4XoUrvK/AhiV1AloYhFAAAAAABgAAAD8/AD8AAIAAAAAAADwvwLufD81XrrJPwLRs1n1udoNQAAAAAAYAAAA/PwA/AACAAAAAAAA8L8C7Z48LNSa1j8CCvmgZ7PqAUAAAAAAGAAAAPz8APwAAgAAAAAAAPC/AoQvTKYKRv0/AkeU9gZfmP8/AAAAABgAAAD8/AD8AAIAAAAAAADwvwKGWtO845QLwAJUdCSX/5DxPwAAAAAYAAAA/PwA/AACAAAAAAAA8L8ChslUwagkD8ACy6FFtvP9xD8AAAAAIAAAAPz8APwAAgAAAAAAAPC/Ao/k8h/SbxXAAgU0ETY8vd4/AAAAABgAAAD8/AD8AAIAAAAAAADwvwJoRGlv8EUXwAIOT6+UZYj+PwAAAAABJwAEBAAAAAAAAAAUBAAAAAAAAAQIBAAAAAAAAAgMBAAAAAAAAAwQBAAAAAAAAAwBI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EgASEEAAAAAAAAASEBIgQAAAAAAAAAAAAA</t>
        </r>
      </text>
    </comment>
    <comment ref="A88" authorId="0" shapeId="0" xr:uid="{49BC5FBB-5E88-44CE-9382-DF5A9E9A2D32}">
      <text>
        <r>
          <rPr>
            <sz val="9"/>
            <color indexed="81"/>
            <rFont val="Segoe UI"/>
            <charset val="1"/>
          </rPr>
          <t>Insight iXlW00001C0000088R0279761703S00000174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w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g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J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89" authorId="0" shapeId="0" xr:uid="{AE85A537-D211-4B32-957E-4876076D072A}">
      <text>
        <r>
          <rPr>
            <sz val="9"/>
            <color indexed="81"/>
            <rFont val="Segoe UI"/>
            <charset val="1"/>
          </rPr>
          <t>Insight iXlW00001C0000089R0279761703S00000176P02356LAocjBAQBF1NjaVRlZ2ljLmRhdGEuTW9sZWN1bGUBbQF/ARJTY2lUZWdpYy5Nb2xlY3VsZQAAAQFkAv5qAQAAAAIAAgEhGAAAAPz8APwAAgAAAAAAAPC/AmWqYFRSpxTAAh3J5T+k39o/AAAAABgAAAD8/AD8AAIAAAAAAADwvwIN4C2QoLgWwAJzaJHtfD/9PwAAAAAcAAAA/PwA/AACAAAAAAAA8L8CHA3gLZDgEsACZvfkYaHWB0AAAAAAGAAAAPz8APwAAgAAAAAAAPC/AgMJih9j7gnAAkVpb/CFyQVAAAAAABgAAAD8/AD8AAIAAAAAAADwvwJ6xyk6kssFwAJe3EYDeAv1PwAAAAAcAAAA/PwA/AACAAAAAAAA8L8CXW3F/rJ7DcACqRPQRNjwxD8AAAAAGAAAAPz8APwAAgAAAAAAAPC/Ag0CK4cWWQnAAiigibDh6fO/AAAAACAAAAD8/AD8AAIAAAAAAADwvwL4U+Olm4QQwAIIPZtVnysDwAAAAAAYAAAA/PwA/AACAAAAAAAA8L8CQDVeukkM+78C+g/pt68D+L8AAAAAGAAAAPz8APwAAgAAAAAAAPC/AvOwUGuad/C/Atc07zhFxwbAAAAAABgAAAD8/AD8AAIAAAAAAADwvwKFDU+vlGX5vwKFfNCzWfUQwAAAAAAYAAAA/PwA/AACAAAAAAAA8L8CikFg5dAi5b8ClBgEVg6tFcAAAAAAHAAAAPz8APwAAgAAAAAAAPC/Ajj4wmSqYOo/AqW9wRcm0xTAAAAAABgAAAD8/AD8AAIAAAAAAADwvwI9LNSa5h32PwLf4AuTqYIOwAAAAAAYAAAA/PwA/AACAAAAAAAA8L8CuK8D54wo3T8CwqikTkATBcAAAAAAHAAAAPz8APwAAgAAAAAAAPC/AoG3QILix+Y/AqqCUUmdgPK/AAAAABgAAAD8/AD8AAIAAAAAAADwvwK62or9ZXcAQAJz+Q/pt6/fvwAAAAAYAAAA/PwA/AACAAAAAAAA8L8CrYvbaABvCkACfT81XrpJ9b8AAAAAGAAAAPz8APwAAgAAAAAAAPC/AicxCKwcmhJAAmB2Tx4WauW/AAAAABgAAAD8/AD8AAIAAAAAAADwvwIbL90kBgETQAJ7FK5H4XrqPwAAAAAYAAAA/PwA/AACAAAAAAAA8L8CQ61p3nEKDEAC7Z48LNSa+j8AAAAAGAAAAPz8APwAAgAAAAAAAPC/AqLWNO84RQFAAqAaL90kBvA/AAAAABgAAAD8/AD8AAIAAAAAAADwvwJiMlUwKqnjvwIFxY8xdy3dvwAAAAAgAAAA/PwA/AACAAAAAAAA8L8Ct2J/2T156r8CoKut2F928D8AAAAAGAAAAPz8APwAAgAAAAAAAPC/An/7OnDOiNY/Al+YTBWMSv8/AAAAABgAAAD8/AD8AAIAAAAAAADwvwJGR3L5D+n7PwLOO07RkVz2PwAAAAAYAAAA/PwA/AACAAAAAAAA8L8C+THmriVkB0ACR5T2Bl+YAkAAAAAAGAAAAPz8APwAAgAAAAAAAPC/AuSlm8QgsAVAArdif9k9eQ5AAAAAABgAAAD8/AD8AAIAAAAAAADwvwJhw9MrZRn1PwKASL99HXgRQAAAAAAYAAAA/PwA/AACAAAAAAAA8L8CqTXNO07RwT8CoBov3SSGC0AAAAAAGAAAAPz8APwAAgAAAAAAAPC/ArHh6ZWyDPS/ArFyaJHt/A9AAAAAACQAAAD8/AD8AAIAAAAAAADwvwIW+8vuyUMRQAJteHqlLEP8PwAAAAABEQAAAPz8APwAAgAAAAAAAPC/Ase6uI0G8AZAAspUwaikzgzAAAAAAAElAAQEAAAAAAAAABQEAAAAAAAABAgEAAAAAAAACAwEAAAAAAAADBAEAAAAAAAAEBQEAAAAAAAAFBgEAAAAAAAAGBwIAAAAAAAAGCAEAAAAAAAAICQEAAAAAAAAIAEWCAwAAAAAACQoCAwAAAAAACQ4BAAAAAAAACgsBAAAAAAAACwwCAgAAAAAADA0BAAAAAAAADQ4CAgAAAAAADQBIAQA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90" authorId="0" shapeId="0" xr:uid="{14666A71-28B2-4DA7-B33E-182C8C421B65}">
      <text>
        <r>
          <rPr>
            <sz val="9"/>
            <color indexed="81"/>
            <rFont val="Segoe UI"/>
            <charset val="1"/>
          </rPr>
          <t>Insight iXlW00001C0000090R0279761703S00000178P02488LAocjBAQBF1NjaVRlZ2ljLmRhdGEuTW9sZWN1bGUBbQF/ARJTY2lUZWdpYy5Nb2xlY3VsZQAAAQFkAv5qAQAAAAIAAgEjGAAAAPz8APwAAgAAAAAAAPC/AkjhehSuR/a/An9qvHSTWBPAAAAAABgAAAD8/AD8AAIAAAAAAADwvwLzsFBrmvcGwAJ5eqUsQ1wUwAAAAAAcAAAA/PwA/AACAAAAAAAA8L8C++3rwDmjDsACBHgLJCh+D8AAAAAAGAAAAPz8APwAAgAAAAAAAPC/ArTqc7UVewrAAiPb+X5qPATAAAAAABgAAAD8/AD8AAIAAAAAAADwvwLKVMGopE79vwIwuycPCzUCwAAAAAAcAAAA/PwA/AACAAAAAAAA8L8CdLUV+8vu678CHjhnRGlvC8AAAAAAGAAAAPz8APwAAgAAAAAAAPC/AsdLN4lBYOM/AisYldQJaAnAAAAAACAAAAD8/AD8AAIAAAAAAADwvwLzH9JvXwf5PwKMSuoENFERwAAAAAAYAAAA/PwA/AACAAAAAAAA8L8CcayL22gA8j8ClfYGX5hM/L8AAAAAGAAAAPz8APwAAgAAAAAAAPC/AiKOdXEbjQRAAifChqdXyvW/AAAAABgAAAD8/AD8AAIAAAAAAADwvwKKsOHplbIOQAI+eVioNU0BwAAAAAAcAAAA/PwA/AACAAAAAAAA8L8CDXGsi9uoFEACHjhnRGlv978AAAAAGAAAAPz8APwAAgAAAAAAAPC/AqH4Meau5RRAAr1SliGOdaE/AAAAABgAAAD8/AD8AAIAAAAAAADwvwKh+DHmrqUPQALXxW00gLfqPwAAAAAYAAAA/PwA/AACAAAAAAAA8L8CEce6uI0GBUACZ0Rpb/CFwT8AAAAAHAAAAPz8APwAAgAAAAAAAPC/AmFUUiegifM/AjZeukkMAuU/AAAAABgAAAD8/AD8AAIAAAAAAADwvwLmP6Tfvg7qPwJ3Tx4Was0AQAAAAAAYAAAA/PwA/AACAAAAAAAA8L8CgbdAguLH/T8CFGHD0ytlCUAAAAAAGAAAAPz8APwAAgAAAAAAAPC/AoQvTKYKRvc/An6MuWsJeRJAAAAAABgAAAD8/AD8AAIAAAAAAADwvwKTy39Iv31NPwKl374OnPMTQAAAAAAYAAAA/PwA/AACAAAAAAAA8L8ClIeFWtO88L8CdNcS8kFPD0AAAAAAGAAAAPz8APwAAgAAAAAAAPC/Ai//If32deS/AoofY+5awgNAAAAAABgAAAD8/AD8AAIAAAAAAADwvwKoV8oyxLHSPwI9m1Wfq63gvwAAAAAYAAAA/PwA/AACAAAAAAAA8L8CylTBqKRO878CAW+BBMWP3b8AAAAAGAAAAPz8APwAAgAAAAAAAPC/Apm7lpAPev6/Ar8OnDOitOs/AAAAABgAAAD8/AD8AAIAAAAAAADwvwJEi2zn+6nxvwIYJlMFoxIBQAAAAAAYAAAA/PwA/AACAAAAAAAA8L8CokW28/3U/L8CqFfKMsSxC0AAAAAAGAAAAPz8APwAAgAAAAAAAPC/AisYldQJaArAAtBm1edqKwxAAAAAABgAAAD8/AD8AAIAAAAAAADwvwIrGJXUCWgQwAIvbqMBvAUCQAAAAAAYAAAA/PwA/AACAAAAAAAA8L8CJlMFo5I6C8ACfPKwUGua7T8AAAAAGAAAAPz8APwAAgAAAAAAAPC/Aqk1zTtO0RDAAkku/yH99tW/AAAAACQAAAD8/AD8AAIAAAAAAADwvwL0/dR46WYWwAIep+hILn8CQAAAAAAgAAAA/PwA/AACAAAAAAAA8L8CTaYKRiU1GkACyzLEsS5u5z8AAAAAGAAAAPz8APwAAgAAAAAAAPC/Ap2iI7n8Rx9AAgFvgQTFj7G/AAAAABgAAAD8/AD8AAIAAAAAAADwvwL6fmq8dBMRwAL6D+m3rwP2vwAAAAABJwAEBAAAAAAAAAAUBAAAAAAAAAQIBAAAAAAAAAgMBAAAAAAAAAwQBAAAAAAAAAwBIgQAAAAAAAAQFAQAAAAAAAAUGAQAAAAAAAAYHAgAAAAAAAAYIAQAAAAAAAAgJAQAAAAAAAAgARYIDAAAAAAAJCgIDAAAAAAAJDgEAAAAAAAAKCwEAAAAAAAALDAICAAAAAAAMDQEAAAAAAAAMAEgBAAAAAAAADQ4CAgAAAAAADg8BAAAAAAAADwBEAQAAAAAAAA8ARYEAAAAAAAAARABEQQAAAAAAAABEAEVBAAAAAAAAAERARIEAAAAAAAAARIBEwQAAAAAAAABEwEUBAAAAAAAAAEUARUEAAAAAAAAARYBFwQAAAAAAAABFwEYBAAAAAAAAAEYARkIDAAAAAAAARgBHQQAAAAAAAABGQEaBAAAAAAAAAEaARsICAAAAAAAARsBHAQAAAAAAAABHAEdCAgAAAAAAAEcAR8EAAAAAAAAAR0BHgQAAAAAAAABIAEhBAAAAAAAAAAAAAA=</t>
        </r>
      </text>
    </comment>
    <comment ref="A91" authorId="0" shapeId="0" xr:uid="{1D39991F-1246-4869-9B95-00694D8B29C6}">
      <text>
        <r>
          <rPr>
            <sz val="9"/>
            <color indexed="81"/>
            <rFont val="Segoe UI"/>
            <charset val="1"/>
          </rPr>
          <t>Insight iXlW00001C0000091R0279761703S00000180P02356LAocjBAQBF1NjaVRlZ2ljLmRhdGEuTW9sZWN1bGUBbQF/ARJTY2lUZWdpYy5Nb2xlY3VsZQAAAQFkAv5qAQAAAAIAAgEhGAAAAPz8APwAAgAAAAAAAPC/AgyTqYJRSRJAAvXb14FzxgPAAAAAABgAAAD8/AD8AAIAAAAAAADwvwKS7Xw/NZ4RQAI0MzMzM7MPwAAAAAAcAAAA/PwA/AACAAAAAAAA8L8CPgrXo3A9CEACqoJRSZ1AEsAAAAAAGAAAAPz8APwAAgAAAAAAAPC/ApoIG55eKf0/AjWAt0CCYg3AAAAAABgAAAD8/AD8AAIAAAAAAADwvwKEns2qz9X/PwK9UpYhjnUBwAAAAAAcAAAA/PwA/AACAAAAAAAA8L8CKKCJsOHpCkACOwFNhA1P+b8AAAAAGAAAAPz8APwAAgAAAAAAAPC/Ah3r4jYaQAxAAtQrZRniWLe/AAAAACAAAAD8/AD8AAIAAAAAAADwvwIB3gIJip8TQALo+6nx0k3gPwAAAAAYAAAA/PwA/AACAAAAAAAA8L8CLGUZ4liXAkAC48eYu5aQ6T8AAAAAGAAAAPz8APwAAgAAAAAAAPC/AiNseHqlrAJAAvkx5q4lZAJAAAAAABwAAAD8/AD8AAIAAAAAAADwvwKh+DHmrqULQALr4jYawFsKQAAAAAAYAAAA/PwA/AACAAAAAAAA8L8CelioNc07CUACrmnecYoOE0AAAAAAGAAAAPz8APwAAgAAAAAAAPC/AjerPldbsfs/AjMzMzMz8xRAAAAAABgAAAD8/AD8AAIAAAAAAADwvwJ1JJf/kH7jPwK62or9ZfcQQAAAAAAYAAAA/PwA/AACAAAAAAAA8L8CEqW9wRcm7T8CBcWPMXctBkAAAAAAHAAAAPz8APwAAgAAAAAAAPC/AtgS8kHPZpU/Aih+jLlrCfk/AAAAABgAAAD8/AD8AAIAAAAAAADwvwK1N/jCZKr3vwIWjErqBDT5PwAAAAAYAAAA/PwA/AACAAAAAAAA8L8CumsJ+aDnAcACpwpGJXUC0j8AAAAAGAAAAPz8APwAAgAAAAAAAPC/AoGVQ4ts5w3AAltCPujZrNI/AAAAABgAAAD8/AD8AAIAAAAAAADwvwLRItv5fuoRwALwp8ZLN4n5PwAAAAAYAAAA/PwA/AACAAAAAAAA8L8C+8vuycPCDcACrthfdk8eB0AAAAAAGAAAAPz8APwAAgAAAAAAAPC/AvvL7snDwgHAArfRAN4CCQdAAAAAABgAAAD8/AD8AAIAAAAAAADwvwKxUGuad5zsPwKdEaW9wRfWPwAAAAAgAAAA/PwA/AACAAAAAAAA8L8CAwmKH2Pu2j8C5BQdyeU/8b8AAAAAGAAAAPz8APwAAgAAAAAAAPC/Ap5eKcsQx/C/AjNVMCqpE/a/AAAAABgAAAD8/AD8AAIAAAAAAADwvwJ6Nqs+V1sAwALY8PRKWYbQvwAAAAAYAAAA/PwA/AACAAAAAAAA8L8CsVBrmnccDMACCvmgZ7Pq4b8AAAAAGAAAAPz8APwAAgAAAAAAAPC/Ava52or95Q/AAtDVVuwvu/+/AAAAABgAAAD8/AD8AAIAAAAAAADwvwLLMsSxLu4HwAKfzarP1dYIwAAAAAAYAAAA/PwA/AACAAAAAAAA8L8CJzEIrBxa+L8Cdy0hH/RsBsAAAAAAGAAAAPz8APwAAgAAAAAAAPC/AqJFtvP91OC/Ava52or9ZQ/AAAAAACQAAAD8/AD8AAIAAAAAAADwvwIWak3zjtMVwAIPC7WmeUcCwAAAAAAkAAAA/PwA/AACAAAAAAAA8L8C7uvAOSMKEsAC7zhFR3L54T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gEgBAAAAAAAAAEbARwEAAAAAAAAARsBHwQAAAAAAAABHAEdCAgAAAAAAAEdAR4EAAAAAAAAAAAAAA==</t>
        </r>
      </text>
    </comment>
    <comment ref="A92" authorId="0" shapeId="0" xr:uid="{5A31D731-E8E4-4DED-87B0-0615255299D5}">
      <text>
        <r>
          <rPr>
            <sz val="9"/>
            <color indexed="81"/>
            <rFont val="Segoe UI"/>
            <charset val="1"/>
          </rPr>
          <t>Insight iXlW00001C0000092R0279761703S00000182P02424LAocjBAQBF1NjaVRlZ2ljLmRhdGEuTW9sZWN1bGUBbQF/ARJTY2lUZWdpYy5Nb2xlY3VsZQAAAQFkAv5qAQAAAAIAAgEiGAAAAPz8APwAAgAAAAAAAPC/AqRwPQrX4xRAAi2yne+nxvS/AAAAABgAAAD8/AD8AAIAAAAAAADwvwJYyjLEsa4VQAIqOpLLf0gGwAAAAAAcAAAA/PwA/AACAAAAAAAA8L8CIbByaJHtEEACfPKwUGuaDcAAAAAAGAAAAPz8APwAAgAAAAAAAPC/Amx4eqUswwZAArtJDAIrBwnAAAAAABgAAAD8/AD8AAIAAAAAAADwvwIFxY8xdy0FQALAfR04Z0T6vwAAAAAcAAAA/PwA/AACAAAAAAAA8L8Cc/kP6bevDkACVcGopE5A578AAAAAGAAAAPz8APwAAgAAAAAAAPC/AgtGJXUCGg1AAhZqTfOOU+g/AAAAACAAAAD8/AD8AAIAAAAAAADwvwI8vVKWIU4TQAKvJeSDns36PwAAAAAYAAAA/PwA/AACAAAAAAAA8L8C/Yf029cBAkACjgbwFkhQ9T8AAAAAGAAAAPz8APwAAgAAAAAAAPC/AsdLN4lBYP4/AouO5PIfUgZAAAAAABgAAAD8/AD8AAIAAAAAAADwvwKcM6K0N/gFQAJ5eqUsQxwQQAAAAAAYAAAA/PwA/AACAAAAAAAA8L8CDJOpglHJAEACE4PAyqGFFUAAAAAAGAAAAPz8APwAAgAAAAAAAPC/AgyTqYJRSeM/Al1txf6y+xVAAAAAABgAAAD8/AD8AAIAAAAAAADwvwJdj8L1KFzPvwIqOpLLfwgRQAAAAAAYAAAA/PwA/AACAAAAAAAA8L8C1LzjFB3J2T8CIGPuWkI+B0AAAAAAHAAAAPz8APwAAgAAAAAAAPC/AuauJeSDnsW/ApX2Bl+YTPg/AAAAABgAAAD8/AD8AAIAAAAAAADwvwJkzF1LyAf6vwLxhclUwajyPwAAAAAYAAAA/PwA/AACAAAAAAAA8L8C7uvAOSNKBcAC9pfdk4cFAkAAAAAAHAAAAPz8APwAAgAAAAAAAPC/Apm7lpAPehDAAkm/fR04Z/4/AAAAABgAAAD8/AD8AAIAAAAAAADwvwJd/kP67SsSwAJoRGlv8IXdPwAAAAAYAAAA/PwA/AACAAAAAAAA8L8CNs07TtERDMAC4lgXt9EA5L8AAAAAGAAAAPz8APwAAgAAAAAAAPC/AvJBz2bVZwDAAvmgZ7Pqc9G/AAAAACAAAAD8/AD8AAIAAAAAAADwvwL/Q/rt6wAYwAJxzojS3uC7PwAAAAAYAAAA/PwA/AACAAAAAAAA8L8C3UYDeAskHMACcoqO5PIf8z8AAAAAGAAAAPz8APwAAgAAAAAAAPC/Ak7zjlN0JO8/AuzAOSNKe+E/AAAAABgAAAD8/AD8AAIAAAAAAADwvwL5oGez6nPrPwJWn6ut2F/uvwAAAAAYAAAA/PwA/AACAAAAAAAA8L8Cr0fhehSu378CzBDHuriN+b8AAAAAGAAAAPz8APwAAgAAAAAAAPC/Aiz2l92Th+O/Aq+2Yn/ZvQjAAAAAABgAAAD8/AD8AAIAAAAAAADwvwJ+HThnRGn/vwI/V1uxv+wNwAAAAAAYAAAA/PwA/AACAAAAAAAA8L8CJnUCmgibCcAChslUwagkB8AAAAAAGAAAAPz8APwAAgAAAAAAAPC/ApGg+DHmrgjAAuviNhrAW/a/AAAAABgAAAD8/AD8AAIAAAAAAADwvwK5HoXrUbj7vwKWQ4ts5/vnvwAAAAAkAAAA/PwA/AACAAAAAAAA8L8CVOOlm8SgAMACqFfKMsTxFMAAAAAAGAAAAPz8APwAAgAAAAAAAPC/Am6jAbwFEuQ/AmhEaW/whQ/AAAAAAAEmAAQEAAAAAAAAABQEAAAAAAAABAgEAAAAAAAACAwEAAAAAAAADBAEAAAAAAAAEBQEAAAAAAAAFBgEAAAAAAAAGBwIAAAAAAAAGCAEAAAAAAAAICQEAAAAAAAAIAEYCAwAAAAAACQoCAwAAAAAACQ4BAAAAAAAACgsBAAAAAAAACwwCAgAAAAAADA0BAAAAAAAADQ4CAgAAAAAADg8BAAAAAAAADwBEAQAAAAAAAA8ARgEAAAAAAAAARABEQgMAAAAAAABEAEVBAAAAAAAAAERARIEAAAAAAAAARIBEwgIAAAAAAABEwEUBAAAAAAAAAETARYEAAAAAAAAARQBFQgIAAAAAAABFgEXBAAAAAAAAAEYARkEAAAAAAAAARkBGgQAAAAAAAABGgEbCAwAAAAAAAEaAR8EAAAAAAAAARsBHAQAAAAAAAABGwEhBAAAAAAAAAEcAR0ICAAAAAAAARwBIAQAAAAAAAABHQEeBAAAAAAAAAEeAR8ICAAAAAAAAAAAAA==</t>
        </r>
      </text>
    </comment>
    <comment ref="A93" authorId="0" shapeId="0" xr:uid="{6B02A8F2-111E-4ECF-A916-227C1397C44C}">
      <text>
        <r>
          <rPr>
            <sz val="9"/>
            <color indexed="81"/>
            <rFont val="Segoe UI"/>
            <charset val="1"/>
          </rPr>
          <t>Insight iXlW00001C0000093R0279761703S00000184P02420LAocjBAQBF1NjaVRlZ2ljLmRhdGEuTW9sZWN1bGUBbQF/ARJTY2lUZWdpYy5Nb2xlY3VsZQAAAQFkAv5qAQAAAAIAAgEiGAAAAPz8APwAAgAAAAAAAPC/AmHD0ytlGQ/AAiEf9GxWfQfAAAAAABgAAAD8/AD8AAIAAAAAAADwvwKA2T15WKgUwAJvgQTFjzEBwAAAAAAcAAAA/PwA/AACAAAAAAAA8L8CB/AWSFB8FMACCRueXinL5L8AAAAAGAAAAPz8APwAAgAAAAAAAPC/An4dOGdEaQ7AAhHHuriNBrA/AAAAABgAAAD8/AD8AAIAAAAAAADwvwLgLZCg+DEEwAIFxY8xdy3nvwAAAAAcAAAA/PwA/AACAAAAAAAA8L8C0gDeAgmKBMAC7uvAOSPKAcAAAAAAGAAAAPz8APwAAgAAAAAAAPC/AmgibHh6pfS/AqCJsOHpFQjAAAAAACAAAAD8/AD8AAIAAAAAAADwvwJMyAc9m1X1vwInwoanVwoSwAAAAAAYAAAA/PwA/AACAAAAAAAA8L8CrK3YX3ZPnj8CbVZ9rrZiAsAAAAAAGAAAAPz8APwAAgAAAAAAAPC/Anl6pSxDHPY/AtzXgXNGlAfAAAAAABwAAAD8/AD8AAIAAAAAAADwvwLKw0Ktad78PwLrc7UV+4sRwAAAAAAYAAAA/PwA/AACAAAAAAAA8L8Cf2q8dJMYCkACg8DKoUX2EsAAAAAAGAAAAPz8APwAAgAAAAAAAPC/Ahx8YTJVMBFAAj4K16NwPQ3AAAAAABgAAAD8/AD8AAIAAAAAAADwvwKPU3Qkl/8OQAJ90LNZ9bkBwAAAAAAYAAAA/PwA/AACAAAAAAAA8L8C9UpZhjhWA0ACJ8KGp1fK/b8AAAAAHAAAAPz8APwAAgAAAAAAAPC/AvXb14FzRvs/AhB6Nqs+V+G/AAAAABgAAAD8/AD8AAIAAAAAAADwvwJqb/CFydQCQAKSXP5D+u3pPwAAAAAYAAAA/PwA/AACAAAAAAAA8L8Crthfdk8e+D8CiIVa07xjAEAAAAAAGAAAAPz8APwAAgAAAAAAAPC/Ao6XbhKDQAFAAjC7Jw8LNQtAAAAAABgAAAD8/AD8AAIAAAAAAADwvwIPnDOitDcNQALnriXkgx4MQAAAAAAYAAAA/PwA/AACAAAAAAAA8L8CkQ96Nqv+EUACg8DKoUU2AkAAAAAAGAAAAPz8APwAAgAAAAAAAPC/ArOd76fGyw5AAmsr9pfdk+0/AAAAABgAAAD8/AD8AAIAAAAAAADwvwKlvcEXJlPNPwIN4C2QoPjpvwAAAAAgAAAA/PwA/AACAAAAAAAA8L8C2BLyQc9m678C4L4OnDOizD8AAAAAGAAAAPz8APwAAgAAAAAAAPC/AhWuR+F6FOC/AhDpt68D5/o/AAAAABgAAAD8/AD8AAIAAAAAAADwvwKcxCCwcmj5vwJBguLHmLsFQAAAAAAYAAAA/PwA/AACAAAAAAAA8L8COpLLf0i/878CbsX+snuyEEAAAAAAGAAAAPz8APwAAgAAAAAAAPC/AsZtNIC3QMo/AsIXJlMFYxJAAAAAABgAAAD8/AD8AAIAAAAAAADwvwJKe4MvTKb0PwKTy39Iv30MQAAAAAAYAAAA/PwA/AACAAAAAAAA8L8C0pFc/kP67T8CMZkqGJXUAEAAAAAAGAAAAPz8APwAAgAAAAAAAPC/AgaBlUOL7AFAAifChqdXyvU/AAAAABgAAAD8/AD8AAIAAAAAAADwvwJIcvkP6TcIwAKY3ZOHhVoCQAAAAAAYAAAA/PwA/AACAAAAAAAA8L8CVHQkl/8QDsACy6FFtvP9+D8AAAAAIAAAAPz8APwAAgAAAAAAAPC/Avkx5q4lJBTAAl+YTBWMygJAAAAAAAEmAAQEAAAAAAAAABQEAAAAAAAABAgEAAAAAAAACAwEAAAAAAAADBAEAAAAAAAADAEgBAAAAAAAABAUBAAAAAAAABQYBAAAAAAAABgcCAAAAAAAABggBAAAAAAAACAkBAAAAAAAACABFggMAAAAAAAkKAgMAAAAAAAkOAQAAAAAAAAoLAQAAAAAAAAsMAgIAAAAAAAwNAQAAAAAAAA0OAgIAAAAAAA4PAQAAAAAAAA8ARAEAAAAAAAAPAEWBAAAAAAAAAEQAREEAAAAAAAAARABFQQAAAAAAAABEQESBAAAAAAAAAESARMEAAAAAAAAARMBFAQAAAAAAAABFAEVBAAAAAAAAAEWARcEAAAAAAAAARcBGAQAAAAAAAABGAEZCAwAAAAAAAEYAR0EAAAAAAAAARkBGgQAAAAAAAABGQEfBAAAAAAAAAEaARsICAAAAAAAARsBHAQAAAAAAAABHAEdCAgAAAAAAAEdAR4EAAAAAAAAASABIQQAAAAAAAAAAAAA</t>
        </r>
      </text>
    </comment>
    <comment ref="A94" authorId="0" shapeId="0" xr:uid="{04A4AF16-296D-4BC7-87CA-A1736292C5D9}">
      <text>
        <r>
          <rPr>
            <sz val="9"/>
            <color indexed="81"/>
            <rFont val="Segoe UI"/>
            <charset val="1"/>
          </rPr>
          <t>Insight iXlW00001C0000094R0279761703S00000186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gAAAD8/AD8AAIAAAAAAADwvwIkKH6MuesCQAISNjy9UpYPQAAAAAAYAAAA/PwA/AACAAAAAAAA8L8C6wQ0ETY8+z8ClBgEVg4tFUAAAAAAGAAAAPz8APwAAgAAAAAAAPC/Auj7qfHSTco/AouO5PIfkhVAAAAAABwAAAD8/AD8AAIAAAAAAADwvwIIzhlR2hvkvwL3Bl+YTJUQQAAAAAAYAAAA/PwA/AACAAAAAAAA8L8CRIts5/upoT8CEOm3rwNnBkAAAAAAHAAAAPz8APwAAgAAAAAAAPC/Aoqw4emVsuC/AqOSOgFNhPY/AAAAABgAAAD8/AD8AAIAAAAAAADwvwIi/fZ14Jz/vwJ1ApoIG57wPwAAAAAYAAAA/PwA/AACAAAAAAAA8L8CzO7Jw0ItCMACnMQgsHLoAEAAAAAAGAAAAPz8APwAAgAAAAAAAPC/Ap6AJsKG5xHAAgr5oGez6vs/AAAAABgAAAD8/AD8AAIAAAAAAADwvwK30QDeAokTwAIqOpLLf0jTPwAAAAAYAAAA/PwA/AACAAAAAAAA8L8CbAn5oGezDsACjpduEoPA6L8AAAAAGAAAAPz8APwAAgAAAAAAAPC/Av32deCcEQPAAiigibDh6dm/AAAAABgAAAD8/AD8AAIAAAAAAADwvwL+1HjpJjHkPwIt1JrmHafcPwAAAAAgAAAA/PwA/AACAAAAAAAA8L8CRiV1ApoI4T8C1LzjFB3J8L8AAAAAGAAAAPz8APwAAgAAAAAAAPC/Ai9uowG8Beq/AjIIrBxaZPu/AAAAABgAAAD8/AD8AAIAAAAAAADwvwK06nO1FXsAwAJhw9MrZRnsvwAAAAAYAAAA/PwA/AACAAAAAAAA8L8CyeU/pN8+C8ACDy2yne+n+L8AAAAAGAAAAPz8APwAAgAAAAAAAPC/ArfRAN4CCQzAAndPHhZqTQjAAAAAABgAAAD8/AD8AAIAAAAAAADwvwKQwvUoXA8CwAJ/jLlrCfkOwAAAAAAYAAAA/PwA/AACAAAAAAAA8L8C5x2n6Egu7b8C0GbV52qrCcAAAAAAGAAAAPz8APwAAgAAAAAAAPC/Aq2L22gAb9U/Agg9m1WfKxDAAAAAACQAAAD8/AD8AAIAAAAAAADwvwJ5eqUsQ5wSwAL+ZffkYaHmvw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AAAAA==</t>
        </r>
      </text>
    </comment>
    <comment ref="A95" authorId="0" shapeId="0" xr:uid="{D3289FC9-0980-49AC-B1AB-B6AC70233781}">
      <text>
        <r>
          <rPr>
            <sz val="9"/>
            <color indexed="81"/>
            <rFont val="Segoe UI"/>
            <charset val="1"/>
          </rPr>
          <t>Insight iXlW00001C0000095R0279761703S00000188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G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g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96" authorId="0" shapeId="0" xr:uid="{831DE082-BE7F-473E-AED1-42A3E9D2E82F}">
      <text>
        <r>
          <rPr>
            <sz val="9"/>
            <color indexed="81"/>
            <rFont val="Segoe UI"/>
            <charset val="1"/>
          </rPr>
          <t>Insight iXlW00001C0000096R0279761703S00000190P02420LAocjBAQBF1NjaVRlZ2ljLmRhdGEuTW9sZWN1bGUBbQF/ARJTY2lUZWdpYy5Nb2xlY3VsZQAAAQFkAv5qAQAAAAIAAgEiGAAAAPz8APwAAgAAAAAAAPC/AvLSTWIQWBTAAsx/SL99Hfi/AAAAABgAAAD8/AD8AAIAAAAAAADwvwK1N/jCZGoYwAI4Z0Rpb/DZvwAAAAAcAAAA/PwA/AACAAAAAAAA8L8CGJXUCWiiFsACPN9PjZdu8D8AAAAAGAAAAPz8APwAAgAAAAAAAPC/AtV46SYxyBDAAirLEMe6uPU/AAAAABgAAAD8/AD8AAIAAAAAAADwvwIkKH6MuWsJwAJ0RpT2Bl/QPwAAAAAcAAAA/PwA/AACAAAAAAAA8L8CXW3F/rL7DMAC3pOHhVrT8r8AAAAAGAAAAPz8APwAAgAAAAAAAPC/AhB6Nqs+1wTAArWmeccpOgLAAAAAACAAAAD8/AD8AAIAAAAAAADwvwJJv30dOGcIwAJz+Q/pt68NwAAAAAAYAAAA/PwA/AACAAAAAAAA8L8CotY07zhF8r8CfWEyVTAq/78AAAAAGAAAAPz8APwAAgAAAAAAAPC/AhkEVg4tso2/Ald9rrZifwfAAAAAABgAAAD8/AD8AAIAAAAAAADwvwJIUPwYc9dyPwKPU3Qkl78RwAAAAAAYAAAA/PwA/AACAAAAAAAA8L8CpwpGJXUC9T8CPN9PjZeuFMAAAAAAHAAAAPz8APwAAgAAAAAAAPC/AlK4HoXr0QRAAgRWDi2ynRHAAAAAABgAAAD8/AD8AAIAAAAAAADwvwLtDb4wmaoEQAJBguLHmDsHwAAAAAAYAAAA/PwA/AACAAAAAAAA8L8ChQ1Pr5Rl9D8C6Gor9pddAcAAAAAAHAAAAPz8APwAAgAAAAAAAPC/Ag+cM6K0N+4/AobJVMGopOa/AAAAABgAAAD8/AD8AAIAAAAAAADwvwI5Z0Rpb/D+PwJZF7fRAN7aPwAAAAAYAAAA/PwA/AACAAAAAAAA8L8CCawcWmQ79z8CNe84RUdy/T8AAAAAGAAAAPz8APwAAgAAAAAAAPC/Ap2iI7n8hwNAAueMKO0NvgdAAAAAABgAAAD8/AD8AAIAAAAAAADwvwLNzMzMzEwPQAK94xQdyWUFQAAAAAAYAAAA/PwA/AACAAAAAAAA8L8CFmpN846TEUACG55eKcsQ9D8AAAAAGAAAAPz8APwAAgAAAAAAAPC/As1dS8gHPQtAAg+cM6K0N8A/AAAAABgAAAD8/AD8AAIAAAAAAADwvwJNhA1Pr5ThvwJcsb/snjzivwAAAAAgAAAA/PwA/AACAAAAAAAA8L8CBOeMKO0N9b8CoBov3SQG5z8AAAAAGAAAAPz8APwAAgAAAAAAAPC/AqRwPQrXo+K/AtNNYhBYOQBAAAAAABgAAAD8/AD8AAIAAAAAAADwvwKY3ZOHhVrtPwI4+MJkqmAAQAAAAAAYAAAA/PwA/AACAAAAAAAA8L8Cfh04Z0Rp+j8CY3/ZPXnYCkAAAAAAGAAAAPz8APwAAgAAAAAAAPC/AkLxY8xdS+w/AhWuR+F6lBJAAAAAABgAAAD8/AD8AAIAAAAAAADwvwLdtYR80LPjvwL/Q/rt64ASQAAAAAAYAAAA/PwA/AACAAAAAAAA8L8CL90kBoGV9b8C0gDeAgmKCkAAAAAAGAAAAPz8APwAAgAAAAAAAPC/Al+YTBWMygbAAm1Wfa62YgpAAAAAACQAAAD8/AD8AAIAAAAAAADwvwKHONbFbTQJQAKPU3Qkl/8KQAAAAAAYAAAA/PwA/AACAAAAAAAA8L8C7MA5I0r7DkAC0m9fB84ZAcAAAAAAGAAAAPz8APwAAgAAAAAAAPC/AgwkKH6MuRRAAvOwUGua9wbAAAAAAAEmAAQEAAAAAAAAABQEAAAAAAAABAgEAAAAAAAACAwEAAAAAAAADBAEAAAAAAAAEBQEAAAAAAAAFBgEAAAAAAAAGBwIAAAAAAAAGCAEAAAAAAAAICQEAAAAAAAAIAEWCAwAAAAAACQoCAwAAAAAACQ4BAAAAAAAACgsBAAAAAAAACwwCAgAAAAAADA0BAAAAAAAADQ4CAgAAAAAADQBIAQA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SABIQQAAAAAAAAAAAAA</t>
        </r>
      </text>
    </comment>
    <comment ref="A97" authorId="0" shapeId="0" xr:uid="{0BD4398A-A127-444D-B45E-9EC4B20E30C5}">
      <text>
        <r>
          <rPr>
            <sz val="9"/>
            <color indexed="81"/>
            <rFont val="Segoe UI"/>
            <charset val="1"/>
          </rPr>
          <t>Insight iXlW00001C0000097R0279761703S00000192P02420LAocjBAQBF1NjaVRlZ2ljLmRhdGEuTW9sZWN1bGUBbQF/ARJTY2lUZWdpYy5Nb2xlY3VsZQAAAQFkAv5qAQAAAAIAAgEiGAAAAPz8APwAAgAAAAAAAPC/AmHD0ytlGQ/AAiEf9GxWfQfAAAAAABgAAAD8/AD8AAIAAAAAAADwvwKA2T15WKgUwAJvgQTFjzEBwAAAAAAcAAAA/PwA/AACAAAAAAAA8L8CB/AWSFB8FMACCRueXinL5L8AAAAAGAAAAPz8APwAAgAAAAAAAPC/An4dOGdEaQ7AAhHHuriNBrA/AAAAABgAAAD8/AD8AAIAAAAAAADwvwLgLZCg+DEEwAIFxY8xdy3nvwAAAAAcAAAA/PwA/AACAAAAAAAA8L8C0gDeAgmKBMAC7uvAOSPKAcAAAAAAGAAAAPz8APwAAgAAAAAAAPC/AmgibHh6pfS/AqCJsOHpFQjAAAAAACAAAAD8/AD8AAIAAAAAAADwvwJMyAc9m1X1vwInwoanVwoSwAAAAAAYAAAA/PwA/AACAAAAAAAA8L8CrK3YX3ZPnj8CbVZ9rrZiAsAAAAAAGAAAAPz8APwAAgAAAAAAAPC/Anl6pSxDHPY/AtzXgXNGlAfAAAAAABwAAAD8/AD8AAIAAAAAAADwvwLKw0Ktad78PwLrc7UV+4sRwAAAAAAYAAAA/PwA/AACAAAAAAAA8L8Cf2q8dJMYCkACg8DKoUX2EsAAAAAAGAAAAPz8APwAAgAAAAAAAPC/Ahx8YTJVMBFAAj4K16NwPQ3AAAAAABgAAAD8/AD8AAIAAAAAAADwvwKPU3Qkl/8OQAJ90LNZ9bkBwAAAAAAYAAAA/PwA/AACAAAAAAAA8L8C9UpZhjhWA0ACJ8KGp1fK/b8AAAAAHAAAAPz8APwAAgAAAAAAAPC/AvXb14FzRvs/AhB6Nqs+V+G/AAAAABgAAAD8/AD8AAIAAAAAAADwvwJqb/CFydQCQAKSXP5D+u3pPwAAAAAYAAAA/PwA/AACAAAAAAAA8L8Crthfdk8e+D8CiIVa07xjAEAAAAAAGAAAAPz8APwAAgAAAAAAAPC/Ao6XbhKDQAFAAjC7Jw8LNQtAAAAAABgAAAD8/AD8AAIAAAAAAADwvwIPnDOitDcNQALnriXkgx4MQAAAAAAYAAAA/PwA/AACAAAAAAAA8L8CkQ96Nqv+EUACg8DKoUU2AkAAAAAAGAAAAPz8APwAAgAAAAAAAPC/ArOd76fGyw5AAmsr9pfdk+0/AAAAABgAAAD8/AD8AAIAAAAAAADwvwKlvcEXJlPNPwIN4C2QoPjpvwAAAAAgAAAA/PwA/AACAAAAAAAA8L8C2BLyQc9m678C4L4OnDOizD8AAAAAGAAAAPz8APwAAgAAAAAAAPC/AhWuR+F6FOC/AhDpt68D5/o/AAAAABgAAAD8/AD8AAIAAAAAAADwvwKcxCCwcmj5vwJBguLHmLsFQAAAAAAYAAAA/PwA/AACAAAAAAAA8L8COpLLf0i/878CbsX+snuyEEAAAAAAGAAAAPz8APwAAgAAAAAAAPC/AsZtNIC3QMo/AsIXJlMFYxJAAAAAABgAAAD8/AD8AAIAAAAAAADwvwJKe4MvTKb0PwKTy39Iv30MQAAAAAAYAAAA/PwA/AACAAAAAAAA8L8C0pFc/kP67T8CMZkqGJXUAEAAAAAAGAAAAPz8APwAAgAAAAAAAPC/AgaBlUOL7AFAAifChqdXyvU/AAAAABgAAAD8/AD8AAIAAAAAAADwvwJIcvkP6TcIwAKY3ZOHhVoCQAAAAAAYAAAA/PwA/AACAAAAAAAA8L8CVHQkl/8QDsACy6FFtvP9+D8AAAAAGAAAAPz8APwAAgAAAAAAAPC/Avkx5q4lJBTAAl+YTBWMygJAAAAAAAEmAAQEAAAAAAAAABQEAAAAAAAABAgEAAAAAAAACAwEAAAAAAAADBAEAAAAAAAADAEg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SABIQQAAAAAAAAAAAAA</t>
        </r>
      </text>
    </comment>
    <comment ref="A98" authorId="0" shapeId="0" xr:uid="{8E522679-4B2D-4373-8A1F-D06123A243B7}">
      <text>
        <r>
          <rPr>
            <sz val="9"/>
            <color indexed="81"/>
            <rFont val="Segoe UI"/>
            <charset val="1"/>
          </rPr>
          <t>Insight iXlW00001C0000098R0279761703S00000194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YAAAA/PwA/AACAAAAAAAA8L8CeXqlLEMc778CxNMrZRmiFcAAAAAAH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99" authorId="0" shapeId="0" xr:uid="{24B6D903-8456-4D37-98B5-E45DAF4E1E5B}">
      <text>
        <r>
          <rPr>
            <sz val="9"/>
            <color indexed="81"/>
            <rFont val="Segoe UI"/>
            <charset val="1"/>
          </rPr>
          <t>Insight iXlW00001C0000099R0279761703S00000196P02356LAocjBAQBF1NjaVRlZ2ljLmRhdGEuTW9sZWN1bGUBbQF/ARJTY2lUZWdpYy5Nb2xlY3VsZQAAAQFkAv5qAQAAAAIAAgEhGAAAAPz8APwAAgAAAAAAAPC/AjEIrBxaJBFAAl+YTBWMSgbAAAAAABgAAAD8/AD8AAIAAAAAAADwvwIK+aBns+oPQAK7SQwCKwcRwAAAAAAcAAAA/PwA/AACAAAAAAAA8L8ClrIMcayLBEACjGzn+6nxEsAAAAAAGAAAAPz8APwAAgAAAAAAAPC/AoZa07zjFPc/Atz5fmq89A3AAAAAABgAAAD8/AD8AAIAAAAAAADwvwI4iUFg5dD7PwLG/rJ78jACwAAAAAAcAAAA/PwA/AACAAAAAAAA8L8CDwu1pnlHCUACSHL5D+m3/L8AAAAAGAAAAPz8APwAAgAAAAAAAPC/AmgibHh6pQtAAjSitDf4wtS/AAAAACAAAAD8/AD8AAIAAAAAAADwvwKKH2PuWoITQAK2FfvL7snDPwAAAAAYAAAA/PwA/AACAAAAAAAA8L8CFR3J5T+kAkAC1CtlGeJY5T8AAAAAGAAAAPz8APwAAgAAAAAAAPC/AoenV8oyxANAAmMQWDm0SAFAAAAAABgAAAD8/AD8AAIAAAAAAADwvwKFDU+vlGUNQAIbwFsgQXEIQAAAAAAYAAAA/PwA/AACAAAAAAAA8L8CiWNd3EYDDEACAwmKH2MuEkAAAAAAGAAAAPz8APwAAgAAAAAAAPC/Ald9rrZi/wBAAh1aZDvfjxRAAAAAABwAAAD8/AD8AAIAAAAAAADwvwJkXdxGA3jtPwJBguLHmPsQQAAAAAAYAAAA/PwA/AACAAAAAAAA8L8CqoJRSZ2A8T8ClrIMcawLBkAAAAAAHAAAAPz8APwAAgAAAAAAAPC/Ai1DHOviNro/AoZa07zjFPo/AAAAABgAAAD8/AD8AAIAAAAAAADwvwKoxks3iUH2vwL5wmSqYFT8PwAAAAAYAAAA/PwA/AACAAAAAAAA8L8CVOOlm8QgAMACUfwYc9cSCUAAAAAAGAAAAPz8APwAAgAAAAAAAPC/AsKopE5AEwzAAsOGp1fKMgpAAAAAABgAAAD8/AD8AAIAAAAAAADwvwIYt9EA3oIRwAIooImw4WkAQAAAAAAYAAAA/PwA/AACAAAAAAAA8L8CL26jAbwFDsACTRWMSuoE5j8AAAAAGAAAAPz8APwAAgAAAAAAAPC/AsKopE5AEwLAAmdEaW/wheE/AAAAABgAAAD8/AD8AAIAAAAAAADwvwLufD81XrrrPwJlGeJYF7fVPwAAAAAgAAAA/PwA/AACAAAAAAAA8L8CPujZrPpc0T8CC0YldQKa8L8AAAAAGAAAAPz8APwAAgAAAAAAAPC/Ald9rrZif/O/AgOaCBueXvO/AAAAABgAAAD8/AD8AAIAAAAAAADwvwKcxCCwcugAwAJgB84ZUdp7vwAAAAAYAAAA/PwA/AACAAAAAAAA8L8CiBbZzvfTDMAC+g/pt68Dx78AAAAAGAAAAPz8APwAAgAAAAAAAPC/AkHxY8xdyxDAAmPuWkI+6Pi/AAAAABgAAAD8/AD8AAIAAAAAAADwvwLLMsSxLm4KwAIv3SQGgRUGwAAAAAAYAAAA/PwA/AACAAAAAAAA8L8CvsEXJlMF/b8CMzMzMzOzBMAAAAAAGAAAAPz8APwAAgAAAAAAAPC/ApzEILByaO2/AjGZKhiVVA7AAAAAACQAAAD8/AD8AAIAAAAAAADwvwLG/rJ78jAPwAKx4emVsowQwAAAAAAkAAAA/PwA/AACAAAAAAAA8L8CIGPuWkL+EcACbVZ9rrZi8D8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gEgBAAAAAAAAAEbARwEAAAAAAAAARwBHQgIAAAAAAABHAEfBAAAAAAAAAEdAR4EAAAAAAAAAAAAAA==</t>
        </r>
      </text>
    </comment>
    <comment ref="A100" authorId="0" shapeId="0" xr:uid="{9FAC2C0D-A96F-4AA4-AECA-EF6CEC2D2D88}">
      <text>
        <r>
          <rPr>
            <sz val="9"/>
            <color indexed="81"/>
            <rFont val="Segoe UI"/>
            <charset val="1"/>
          </rPr>
          <t>Insight iXlW00001C0000100R0279761703S00000198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wAAAD8/AD8AAIAAAAAAADwvwLLMsSxLm78vwI2zTtO0ZEQwAAAAAAY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J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101" authorId="0" shapeId="0" xr:uid="{DE2ECD01-7A83-4C2A-B64A-6F1A8138AFA7}">
      <text>
        <r>
          <rPr>
            <sz val="9"/>
            <color indexed="81"/>
            <rFont val="Segoe UI"/>
            <charset val="1"/>
          </rPr>
          <t>Insight iXlW00001C0000101R0279761703S00000200P02356LAocjBAQBF1NjaVRlZ2ljLmRhdGEuTW9sZWN1bGUBbQF/ARJTY2lUZWdpYy5Nb2xlY3VsZQAAAQFkAv5qAQAAAAIAAgEhGAAAAPz8APwAAgAAAAAAAPC/AqCJsOHpVRTAAmU730+Nl+S/AAAAABgAAAD8/AD8AAIAAAAAAADwvwKJ0t7gC5MXwALH3LWEfNDjPwAAAAAcAAAA/PwA/AACAAAAAAAA8L8CUrgehevRFMACJ1MFo5I6/z8AAAAAGAAAAPz8APwAAgAAAAAAAPC/Ai3UmuYdpw3AAuqVsgxxLABAAAAAABgAAAD8/AD8AAIAAAAAAADwvwJbQj7o2SwHwAJ9PzVeuknoPwAAAAAcAAAA/PwA/AACAAAAAAAA8L8CyXa+nxqvDMACCYofY+5a4r8AAAAAGAAAAPz8APwAAgAAAAAAAPC/AvjkYaHWNAbAAqmkTkATYf2/AAAAACAAAAD8/AD8AAIAAAAAAADwvwKe76fGS7cLwAK2hHzQs1kJwAAAAAAYAAAA/PwA/AACAAAAAAAA8L8CAJF++zpw9L8C+8vuycNC/L8AAAAAGAAAAPz8APwAAgAAAAAAAPC/AktZhjjWxdW/AgAAAAAAgAfAAAAAABgAAAD8/AD8AAIAAAAAAADwvwK1N/jCZKrivwIIPZtVn6sRwAAAAAAYAAAA/PwA/AACAAAAAAAA8L8CEVg5tMh24j8Cm3ecoiN5FcAAAAAAHAAAAPz8APwAAgAAAAAAAPC/AnP5D+m3r/8/AgmKH2PuWhPAAAAAABgAAAD8/AD8AAIAAAAAAADwvwJ9PzVeuskBQALKw0Ktad4KwAAAAAAYAAAA/PwA/AACAAAAAAAA8L8CiWNd3EYD8T8CpU5AE2FDA8AAAAAAHAAAAPz8APwAAgAAAAAAAPC/ArYV+8vuye8/ApchjnVxG+2/AAAAABgAAAD8/AD8AAIAAAAAAADwvwI4iUFg5VABQAKwlGWIY12cPwAAAAAYAAAA/PwA/AACAAAAAAAA8L8CPE7RkVx+DEACGCZTBaOS4L8AAAAAGAAAAPz8APwAAgAAAAAAAPC/Ah/0bFZ97hJAAkhQ/Bhz19o/AAAAABgAAAD8/AD8AAIAAAAAAADwvwJmiGNd3AYSQAIeOGdEaW/+PwAAAAAYAAAA/PwA/AACAAAAAAAA8L8Cx0s3iUHgCEACvjCZKhiVA0AAAAAAGAAAAPz8APwAAgAAAAAAAPC/AoljXdxGA/8/AtBm1edqK/g/AAAAABgAAAD8/AD8AAIAAAAAAADwvwIYt9EA3gLdvwLRItv5fmrgvwAAAAAgAAAA/PwA/AACAAAAAAAA8L8CF0hQ/Bhz778CBHgLJCh+7D8AAAAAGAAAAPz8APwAAgAAAAAAAPC/Ah44Z0Rpb6C/AvJBz2bVZwBAAAAAABgAAAD8/AD8AAIAAAAAAADwvwIN4C2QoPjhvwKn6Egu/6ELQAAAAAAYAAAA/PwA/AACAAAAAAAA8L8CTDeJQWDl2D8CTKYKRiV1EkAAAAAAGAAAAPz8APwAAgAAAAAAAPC/AmTuWkI+6P0/As4ZUdobfBFAAAAAABgAAAD8/AD8AAIAAAAAAADwvwJVUiegiTADQALnjCjtDb4HQAAAAAAYAAAA/PwA/AACAAAAAAAA8L8CX7pJDAIr9z8C7FG4HoXr/D8AAAAAGAAAAPz8APwAAgAAAAAAAPC/An4dOGdEaQJAArCUZYhjXeI/AAAAABgAAAD8/AD8AAIAAAAAAADwvwJMyAc9m1UAwAKkAbwFEpQNQAAAAAABEQAAAPz8APwAAgAAAAAAAPC/Amu8dJMYBA1AAqfoSC7/oQbAAAAAAAElAAQEAAAAAAAAABQEAAAAAAAABAgEAAAAAAAACAwEAAAAAAAADBAEAAAAAAAAEBQEAAAAAAAAFBgEAAAAAAAAGBwIAAAAAAAAGCAEAAAAAAAAICQEAAAAAAAAIAEWCAwAAAAAACQoCAwAAAAAACQ4BAAAAAAAACgsBAAAAAAAACwwCAgAAAAAADA0BAAAAAAAADQ4CAgAAAAAADQBIAQAAAAAAAA4PAQAAAAAAAA8ARAEAAAAAAAAPAEWBAAAAAAAAAEQAREIDAAAAAAAARABFQQAAAAAAAABEQESBAAAAAAAAAESARMICAAAAAAAARMBFAQAAAAAAAABFAEVCAgAAAAAAAEWARcEAAAAAAAAARcBGAQAAAAAAAABGAEZCAwAAAAAAAEYAR0EAAAAAAAAARkBGgQAAAAAAAABGQEfBAAAAAAAAAEaARsICAAAAAAAARsBHAQAAAAAAAABHAEdCAgAAAAAAAEdAR4EAAAAAAAAAAAAAA==</t>
        </r>
      </text>
    </comment>
    <comment ref="A102" authorId="0" shapeId="0" xr:uid="{42598249-9FF7-4159-B22F-611CF2DCCB2B}">
      <text>
        <r>
          <rPr>
            <sz val="9"/>
            <color indexed="81"/>
            <rFont val="Segoe UI"/>
            <charset val="1"/>
          </rPr>
          <t>Insight iXlW00001C0000102R0279761703S00000202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c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Y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103" authorId="0" shapeId="0" xr:uid="{5752DFD0-F1B2-45A5-8007-36F8DA68F7AC}">
      <text>
        <r>
          <rPr>
            <sz val="9"/>
            <color indexed="81"/>
            <rFont val="Segoe UI"/>
            <charset val="1"/>
          </rPr>
          <t>Insight iXlW00001C0000103R0279761703S00000204P02420LAocjBAQBF1NjaVRlZ2ljLmRhdGEuTW9sZWN1bGUBbQF/ARJTY2lUZWdpYy5Nb2xlY3VsZQAAAQFkAv5qAQAAAAIAAgEiGAAAAPz8APwAAgAAAAAAAPC/AqH4MeauJfA/AqMjufyHNBPAAAAAABgAAAD8/AD8AAIAAAAAAADwvwKBlUOLbOfDvwIj2/l+avwWwAAAAAAcAAAA/PwA/AACAAAAAAAA8L8CEOm3rwPn+L8CZTvfT43XFMAAAAAAGAAAAPz8APwAAgAAAAAAAPC/ApGg+DHmrvy/AkzIBz2b1Q3AAAAAABgAAAD8/AD8AAIAAAAAAADwvwJhw9MrZRnkvwITg8DKoUUGwAAAAAAcAAAA/PwA/AACAAAAAAAA8L8CQYLix5i76D8CkML1KFyPCsAAAAAAGAAAAPz8APwAAgAAAAAAAPC/AnGsi9toAP8/Ald9rrZi/wLAAAAAACAAAAD8/AD8AAIAAAAAAADwvwKhZ7Pqc7UKQALUvOMUHUkHwAAAAAAYAAAA/PwA/AACAAAAAAAA8L8C8fRKWYY4+z8Cg+LHmLuW7L8AAAAAGAAAAPz8APwAAgAAAAAAAPC/Atlfdk8eFgZAAj29UpYhjsU/AAAAABwAAAD8/AD8AAIAAAAAAADwvwK30QDeAgkRQAIXSFD8GHO3PwAAAAAYAAAA/PwA/AACAAAAAAAA8L8CI0p7gy9MFEACz/dT46Wb9T8AAAAAGAAAAPz8APwAAgAAAAAAAPC/Aqk1zTtOkRFAAiEf9GxWfQVAAAAAABgAAAD8/AD8AAIAAAAAAADwvwK7Jw8LtSYHQALtnjws1BoGQAAAAAAYAAAA/PwA/AACAAAAAAAA8L8C4zYawFugAEACG55eKcsQ+D8AAAAAHAAAAPz8APwAAgAAAAAAAPC/ArTIdr6fGuM/AgyTqYJRSfQ/AAAAABgAAAD8/AD8AAIAAAAAAADwvwI7kst/SL/dvwKu2F92T54CQAAAAAAYAAAA/PwA/AACAAAAAAAA8L8CTRWMSuoEtL8C9WxWfa42DkAAAAAAGAAAAPz8APwAAgAAAAAAAPC/Aj4K16NwPfK/Ag6+MJkqWBNAAAAAABgAAAD8/AD8AAIAAAAAAADwvwJpke18P7UEwAK30QDeAskRQAAAAAAYAAAA/PwA/AACAAAAAAAA8L8CBqOSOgHNB8ACYeXQItv5B0AAAAAAGAAAAPz8APwAAgAAAAAAAPC/AiL99nXgnP6/AgAAAAAAAP8/AAAAABgAAAD8/AD8AAIAAAAAAADwvwKyne+nxkvXPwKppE5AE2HLvwAAAAAYAAAA/PwA/AACAAAAAAAA8L8CDr4wmSoY778CAk2EDU+v7L8AAAAAGAAAAPz8APwAAgAAAAAAAPC/AiqpE9BE2AHAAgJNhA1Pr7S/AAAAABgAAAD8/AD8AAIAAAAAAADwvwKX/5B++zoBwAJbQj7o2az2PwAAAAAYAAAA/PwA/AACAAAAAAAA8L8CPnlYqDVNC8ACzTtO0ZHcAUAAAAAAGAAAAPz8APwAAgAAAAAAAPC/Alg5tMh2/hLAAiDSb18Hzvg/AAAAABgAAAD8/AD8AAIAAAAAAADwvwIijnVxG00TwAJ90LNZ9bmqPwAAAAAYAAAA/PwA/AACAAAAAAAA8L8CnaIjufyHDMACeC0hH/Rs6L8AAAAAGAAAAPz8APwAAgAAAAAAAPC/AjBMpgpGJQ3AAvSOU3QkFwLAAAAAACQAAAD8/AD8AAIAAAAAAADwvwLbiv1l96QYwALtDb4wmSrkvwAAAAAgAAAA/PwA/AACAAAAAAAA8L8C7uvAOSNKGkACOPjCZKpg9D8AAAAAGAAAAPz8APwAAgAAAAAAAPC/AmkAb4EEBR1AAnrHKTqSy6+/AAAAAAEmAAQEAAAAAAAAABQEAAAAAAAABAgEAAAAAAAACAwEAAAAAAAADBAEAAAAAAAAEBQEAAAAAAAAFBgEAAAAAAAAGBwIAAAAAAAAGCAEAAAAAAAAICQEAAAAAAAAIAEWCAwAAAAAACQoCAwAAAAAACQ4BAAAAAAAACgsBAAAAAAAACwwCAgAAAAAACwBIAQA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SABIQQAAAAAAAAAAAAA</t>
        </r>
      </text>
    </comment>
    <comment ref="A104" authorId="0" shapeId="0" xr:uid="{5E9E4DA8-876F-4F87-BDDE-D682625D77D0}">
      <text>
        <r>
          <rPr>
            <sz val="9"/>
            <color indexed="81"/>
            <rFont val="Segoe UI"/>
            <charset val="1"/>
          </rPr>
          <t>Insight iXlW00001C0000104R0279761703S00000206P02356LAocjBAQBF1NjaVRlZ2ljLmRhdGEuTW9sZWN1bGUBbQF/ARJTY2lUZWdpYy5Nb2xlY3VsZQAAAQFkAv5qAQAAAAIAAgEhGAAAAPz8APwAAgAAAAAAAPC/AjEIrBxaJBFAAl+YTBWMSgbAAAAAABgAAAD8/AD8AAIAAAAAAADwvwIK+aBns+oPQAK7SQwCKwcRwAAAAAAcAAAA/PwA/AACAAAAAAAA8L8ClrIMcayLBEACjGzn+6nxEsAAAAAAGAAAAPz8APwAAgAAAAAAAPC/AoZa07zjFPc/Atz5fmq89A3AAAAAABgAAAD8/AD8AAIAAAAAAADwvwI4iUFg5dD7PwLG/rJ78jACwAAAAAAcAAAA/PwA/AACAAAAAAAA8L8CDwu1pnlHCUACSHL5D+m3/L8AAAAAGAAAAPz8APwAAgAAAAAAAPC/AmgibHh6pQtAAjSitDf4wtS/AAAAACAAAAD8/AD8AAIAAAAAAADwvwKKH2PuWoITQAK2FfvL7snDPwAAAAAYAAAA/PwA/AACAAAAAAAA8L8CFR3J5T+kAkAC1CtlGeJY5T8AAAAAGAAAAPz8APwAAgAAAAAAAPC/AoenV8oyxANAAmMQWDm0SAFAAAAAABgAAAD8/AD8AAIAAAAAAADwvwKFDU+vlGUNQAIbwFsgQXEIQAAAAAAcAAAA/PwA/AACAAAAAAAA8L8CiWNd3EYDDEACAwmKH2MuEkAAAAAAGAAAAPz8APwAAgAAAAAAAPC/Ald9rrZi/wBAAh1aZDvfjxRAAAAAABgAAAD8/AD8AAIAAAAAAADwvwJkXdxGA3jtPwJBguLHmPsQQAAAAAAYAAAA/PwA/AACAAAAAAAA8L8CqoJRSZ2A8T8ClrIMcawLBkAAAAAAHAAAAPz8APwAAgAAAAAAAPC/Ai1DHOviNro/AoZa07zjFPo/AAAAABgAAAD8/AD8AAIAAAAAAADwvwKoxks3iUH2vwL5wmSqYFT8PwAAAAAYAAAA/PwA/AACAAAAAAAA8L8CwqikTkATAsACZ0Rpb/CF4T8AAAAAGAAAAPz8APwAAgAAAAAAAPC/Ai9uowG8BQ7AAk0VjErqBOY/AAAAABgAAAD8/AD8AAIAAAAAAADwvwIYt9EA3oIRwAIooImw4WkAQAAAAAAYAAAA/PwA/AACAAAAAAAA8L8CwqikTkATDMACw4anV8oyCkAAAAAAGAAAAPz8APwAAgAAAAAAAPC/AlTjpZvEIADAAlH8GHPXEglAAAAAABgAAAD8/AD8AAIAAAAAAADwvwLufD81XrrrPwJlGeJYF7fVPwAAAAAgAAAA/PwA/AACAAAAAAAA8L8CPujZrPpc0T8CC0YldQKa8L8AAAAAGAAAAPz8APwAAgAAAAAAAPC/Ald9rrZif/O/AgOaCBueXvO/AAAAABgAAAD8/AD8AAIAAAAAAADwvwK+wRcmUwX9vwIzMzMzM7MEwAAAAAAYAAAA/PwA/AACAAAAAAAA8L8CyzLEsS5uCsACL90kBoEVBsAAAAAAGAAAAPz8APwAAgAAAAAAAPC/AkHxY8xdyxDAAmPuWkI+6Pi/AAAAABgAAAD8/AD8AAIAAAAAAADwvwKIFtnO99MMwAL6D+m3rwPHvwAAAAAYAAAA/PwA/AACAAAAAAAA8L8CnMQgsHLoAMACYAfOGVHae78AAAAAJAAAAPz8APwAAgAAAAAAAPC/AiBj7lpC/hHAAm1Wfa62YvA/AAAAACQAAAD8/AD8AAIAAAAAAADwvwLG/rJ78jAPwAKx4emVsowQwAAAAAAYAAAA/PwA/AACAAAAAAAA8L8CnMQgsHJo7b8CMZkqGJVUDsAAAAAAASU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IAQAAAAAAAABGgEbCAgAAAAAAAEaAR8EAAAAAAAAARsBHAQAAAAAAAABHAEdCAgAAAAAAAEcAR4EAAAAAAAAAAAAAA==</t>
        </r>
      </text>
    </comment>
    <comment ref="A105" authorId="0" shapeId="0" xr:uid="{00B7C70F-CDC2-4802-9499-1426CF1E5E7B}">
      <text>
        <r>
          <rPr>
            <sz val="9"/>
            <color indexed="81"/>
            <rFont val="Segoe UI"/>
            <charset val="1"/>
          </rPr>
          <t>Insight iXlW00001C0000105R0279761703S00000208P02288LAocjBAQBF1NjaVRlZ2ljLmRhdGEuTW9sZWN1bGUBbQF/ARJTY2lUZWdpYy5Nb2xlY3VsZQAAAQFkAv5qAQAAAAIAAgEgGAAAAPz8APwAAgAAAAAAAPC/Aru4jQbwVhHAAvH0SlmGOALAAAAAABgAAAD8/AD8AAIAAAAAAADwvwJvgQTFj/EVwAKTOgFNhA31vwAAAAAcAAAA/PwA/AACAAAAAAAA8L8CKKCJsOHpFMACI9v5fmq8xD8AAAAAGAAAAPz8APwAAgAAAAAAAPC/AlfsL7snjw7AAlVSJ6CJsOU/AAAAABgAAAD8/AD8AAIAAAAAAADwvwLvWkI+6FkFwAKUGARWDi3SvwAAAAAcAAAA/PwA/AACAAAAAAAA8L8Cfh04Z0RpB8ACHHxhMlUw/L8AAAAAGAAAAPz8APwAAgAAAAAAAPC/AisYldQJaPy/ArYV+8vuyQXAAAAAACAAAAD8/AD8AAIAAAAAAADwvwJseHqlLEMAwAI8vVKWIc4QwAAAAAAYAAAA/PwA/AACAAAAAAAA8L8C7MA5I0p7178Cmggbnl6pAcAAAAAAGAAAAPz8APwAAgAAAAAAAPC/AgjOGVHaG+w/AicxCKwcWgjAAAAAABgAAAD8/AD8AAIAAAAAAADwvwJTliGOdXHxPwIEVg4tsh0SwAAAAAAYAAAA/PwA/AACAAAAAAAA8L8CejarPlfbA0ACQxzr4jZaFMAAAAAAGAAAAPz8APwAAgAAAAAAAPC/AiRKe4MvTA1AAhKlvcEXphDAAAAAABgAAAD8/AD8AAIAAAAAAADwvwJ88rBQa5oLQAJCz2bV52oFwAAAAAAYAAAA/PwA/AACAAAAAAAA8L8CK4cW2c53AEACxEKtad7xAMAAAAAAHAAAAPz8APwAAgAAAAAAAPC/ApGg+DHmrvg/AjC7Jw8Ltea/AAAAABgAAAD8/AD8AAIAAAAAAADwvwKdoiO5/AcDQAJsmnecoiPhPwAAAAAYAAAA/PwA/AACAAAAAAAA8L8CyCk6kst/+z8CH4XrUbge/j8AAAAAGAAAAPz8APwAAgAAAAAAAPC/AjhnRGlvcARAAveX3ZOHBQlAAAAAABgAAAD8/AD8AAIAAAAAAADwvwLb+X5qvDQQQAKhZ7PqczUIQAAAAAAYAAAA/PwA/AACAAAAAAAA8L8C1CtlGeLYEkACysNCrWne+j8AAAAAGAAAAPz8APwAAgAAAAAAAPC/Ahsv3SQGAQ9AAi2yne+nxts/AAAAABgAAAD8/AD8AAIAAAAAAADwvwJWn6ut2F+mPwJ7FK5H4XrovwAAAAAgAAAA/PwA/AACAAAAAAAA8L8CmP+Qfvs67L8CVHQkl/+Q2j8AAAAAGAAAAPz8APwAAgAAAAAAAPC/Aj2bVZ+rrdS/AiigibDh6fw/AAAAABgAAAD8/AD8AAIAAAAAAADwvwKWQ4ts5/vzvwK94xQdyeUHQAAAAAAYAAAA/PwA/AACAAAAAAAA8L8CM1UwKqkT5r8Ch6dXyjKEEUAAAAAAGAAAAPz8APwAAgAAAAAAAPC/AlOWIY51cek/AlvTvOMUXRJAAAAAABgAAAD8/AD8AAIAAAAAAADwvwLwp8ZLN4n7PwLUvOMUHUkLQAAAAAAYAAAA/PwA/AACAAAAAAAA8L8C9I5TdCSX8j8Cg1FJnYAmAEAAAAAAIAAAAPz8APwAAgAAAAAAAPC/AqwcWmQ73wXAAhaMSuoENAZAAAAAABgAAAD8/AD8AAIAAAAAAADwvwLXNO84RUcNwAL3deCcEaUPQ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eBAAAAAAAAAEaARsICAAAAAAAARsBHAQAAAAAAAABHAEdCAgAAAAAAAEeAR8EAAAAAAAAAAAAAA==</t>
        </r>
      </text>
    </comment>
    <comment ref="A106" authorId="0" shapeId="0" xr:uid="{AEA73165-7AA1-493C-86B6-302C5C4DE013}">
      <text>
        <r>
          <rPr>
            <sz val="9"/>
            <color indexed="81"/>
            <rFont val="Segoe UI"/>
            <charset val="1"/>
          </rPr>
          <t>Insight iXlW00001C0000106R0279761703S00000210P02288LAocjBAQBF1NjaVRlZ2ljLmRhdGEuTW9sZWN1bGUBbQF/ARJTY2lUZWdpYy5Nb2xlY3VsZQAAAQFkAv5qAQAAAAIAAgEgGAAAAPz8APwAAgAAAAAAAPC/AkMc6+I2mhNAArhAguLHmPW/AAAAABgAAAD8/AD8AAIAAAAAAADwvwIv/yH99nUUQAIjbHh6pawGwAAAAAAcAAAA/PwA/AACAAAAAAAA8L8CrfpcbcV+D0ACmpmZmZkZDsAAAAAAGAAAAPz8APwAAgAAAAAAAPC/Au9aQj7oWQRAAhKlvcEXpgnAAAAAABgAAAD8/AD8AAIAAAAAAADwvwLgvg6cM6ICQAIlBoGVQ4v7vwAAAAAcAAAA/PwA/AACAAAAAAAA8L8CyJi7lpAPDEACT6+UZYhj6b8AAAAAGAAAAPz8APwAAgAAAAAAAPC/Arn8h/TbVwpAAq7YX3ZPHuY/AAAAACAAAAD8/AD8AAIAAAAAAADwvwJRa5p3nOIRQAJGR3L5D+n5PwAAAAAYAAAA/PwA/AACAAAAAAAA8L8C9rnaiv1l/j8CZ9Xnaiv28z8AAAAAGAAAAPz8APwAAgAAAAAAAPC/AjnWxW00gPg/AiL99nXgnAVAAAAAABwAAAD8/AD8AAIAAAAAAADwvwIkKH6MuesCQAISNjy9UpYPQAAAAAAYAAAA/PwA/AACAAAAAAAA8L8C6wQ0ETY8+z8ClBgEVg4tFUAAAAAAGAAAAPz8APwAAgAAAAAAAPC/Auj7qfHSTco/AouO5PIfkhVAAAAAABgAAAD8/AD8AAIAAAAAAADwvwIIzhlR2hvkvwL3Bl+YTJUQQAAAAAAYAAAA/PwA/AACAAAAAAAA8L8CRIts5/upoT8CEOm3rwNnBkAAAAAAHAAAAPz8APwAAgAAAAAAAPC/Aoqw4emVsuC/AqOSOgFNhPY/AAAAABgAAAD8/AD8AAIAAAAAAADwvwIi/fZ14Jz/vwJ1ApoIG57wPwAAAAAYAAAA/PwA/AACAAAAAAAA8L8C/fZ14JwRA8ACKKCJsOHp2b8AAAAAGAAAAPz8APwAAgAAAAAAAPC/AmwJ+aBnsw7AAo6XbhKDwOi/AAAAABgAAAD8/AD8AAIAAAAAAADwvwK30QDeAokTwAIqOpLLf0jTPwAAAAAYAAAA/PwA/AACAAAAAAAA8L8CnoAmwobnEcACCvmgZ7Pq+z8AAAAAGAAAAPz8APwAAgAAAAAAAPC/AszuycNCLQjAApzEILBy6ABAAAAAABgAAAD8/AD8AAIAAAAAAADwvwL+1HjpJjHkPwIt1JrmHafcPwAAAAAgAAAA/PwA/AACAAAAAAAA8L8CRiV1ApoI4T8C1LzjFB3J8L8AAAAAGAAAAPz8APwAAgAAAAAAAPC/Ai9uowG8Beq/AjIIrBxaZPu/AAAAABgAAAD8/AD8AAIAAAAAAADwvwLnHafoSC7tvwLQZtXnaqsJwAAAAAAYAAAA/PwA/AACAAAAAAAA8L8CkML1KFwPAsACf4y5awn5DsAAAAAAGAAAAPz8APwAAgAAAAAAAPC/ArfRAN4CCQzAAndPHhZqTQjAAAAAABgAAAD8/AD8AAIAAAAAAADwvwLJ5T+k3z4LwAIPLbKd76f4vwAAAAAYAAAA/PwA/AACAAAAAAAA8L8CtOpztRV7AMACYcPTK2UZ7L8AAAAAGAAAAPz8APwAAgAAAAAAAPC/Anl6pSxDnBLAAv5l9+Rhoea/AAAAABgAAAD8/AD8AAIAAAAAAADwvwKti9toAG/VPwIIPZtVnysQ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cAR4EAAAAAAAAAAAAAA==</t>
        </r>
      </text>
    </comment>
    <comment ref="A107" authorId="0" shapeId="0" xr:uid="{540C45C4-01F1-474E-B137-63E3B56579D8}">
      <text>
        <r>
          <rPr>
            <sz val="9"/>
            <color indexed="81"/>
            <rFont val="Segoe UI"/>
            <charset val="1"/>
          </rPr>
          <t>Insight iXlW00001C0000107R0279761703S00000212P02488LAocjBAQBF1NjaVRlZ2ljLmRhdGEuTW9sZWN1bGUBbQF/ARJTY2lUZWdpYy5Nb2xlY3VsZQAAAQFkAv5qAQAAAAIAAgEjGAAAAPz8APwAAgAAAAAAAPC/AgHeAgmKHwTAAnsUrkfhehDAAAAAABgAAAD8/AD8AAIAAAAAAADwvwKY3ZOHhdoPwAKSXP5D+m0OwAAAAAAcAAAA/PwA/AACAAAAAAAA8L8CpU5AE2HDEcACjNtoAG8BA8AAAAAAGAAAAPz8APwAAgAAAAAAAPC/ApwzorQ3eAvAAtNNYhBYOfS/AAAAABgAAAD8/AD8AAIAAAAAAADwvwJ7FK5H4Xr/vwIMk6mCUUn5vwAAAAAcAAAA/PwA/AACAAAAAAAA8L8Cp+hILv8h+L8CjErqBDQRCMAAAAAAGAAAAPz8APwAAgAAAAAAAPC/Aj29UpYhjqW/AvAWSFD8mArAAAAAACAAAAD8/AD8AAIAAAAAAADwvwKoV8oyxLHaPwL7y+7JwwITwAAAAAAYAAAA/PwA/AACAAAAAAAA8L8C4noUrkfh7j8ChzjWxW20AcAAAAAAGAAAAPz8APwAAgAAAAAAAPC/AoNRSZ2ApgNAAq36XG3F/gLAAAAAABwAAAD8/AD8AAIAAAAAAADwvwIjbHh6pawKQAJE+u3rwLkMwAAAAAAYAAAA/PwA/AACAAAAAAAA8L8CdZMYBFZOE0AC/Yf029eBC8AAAAAAGAAAAPz8APwAAgAAAAAAAPC/AqVOQBNhwxVAApDC9ShcjwDAAAAAABgAAAD8/AD8AAIAAAAAAADwvwJxrIvbaEASQALDZKpgVFLrvwAAAAAYAAAA/PwA/AACAAAAAAAA8L8C48eYu5aQCEACf2q8dJMY8L8AAAAAHAAAAPz8APwAAgAAAAAAAPC/AvLSTWIQWP8/Ai9uowG8BVI/AAAAABgAAAD8/AD8AAIAAAAAAADwvwKgq63YX/YAQAJxzojS3uD3PwAAAAAYAAAA/PwA/AACAAAAAAAA8L8Ctch2vp8a7T8CL26jAbwFA0AAAAAAGAAAAPz8APwAAgAAAAAAAPC/AhiV1AloIvE/AvmgZ7Pq8w5AAAAAABgAAAD8/AD8AAIAAAAAAADwvwIlBoGVQ4sDQAJnZmZmZuYRQAAAAAAYAAAA/PwA/AACAAAAAAAA8L8C0NVW7C87DUAC18VtNIC3DEAAAAAAGAAAAPz8APwAAgAAAAAAAPC/AnE9Ctej8AtAAgyTqYJRyQBAAAAAABgAAAD8/AD8AAIAAAAAAADwvwLPiNLe4AvlPwL1SlmGONbnvwAAAAAgAAAA/PwA/AACAAAAAAAA8L8CyeU/pN++5r8C1sVtNIC3wL8AAAAAGAAAAPz8APwAAgAAAAAAAPC/AgRWDi2yneu/AtS84xQdyfU/AAAAABgAAAD8/AD8AAIAAAAAAADwvwInMQisHNoBwAKTqYJRSZ3/PwAAAAAYAAAA/PwA/AACAAAAAAAA8L8CNs07TtERA8ACyeU/pN++C0AAAAAAGAAAAPz8APwAAgAAAAAAAPC/Aq5H4XoUrvK/AhiV1AloYhFAAAAAABgAAAD8/AD8AAIAAAAAAADwvwLufD81XrrJPwLRs1n1udoNQAAAAAAYAAAA/PwA/AACAAAAAAAA8L8C7Z48LNSa1j8CCvmgZ7PqAUAAAAAAGAAAAPz8APwAAgAAAAAAAPC/AoQvTKYKRv0/AkeU9gZfmP8/AAAAABgAAAD8/AD8AAIAAAAAAADwvwKGWtO845QLwAJUdCSX/5DxPwAAAAAYAAAA/PwA/AACAAAAAAAA8L8ChslUwagkD8ACy6FFtvP9xD8AAAAAIAAAAPz8APwAAgAAAAAAAPC/Ao/k8h/SbxXAAgU0ETY8vd4/AAAAABgAAAD8/AD8AAIAAAAAAADwvwJoRGlv8EUXwAIOT6+UZYj+PwAAAAABJwAEBAAAAAAAAAAUBAAAAAAAAAQIBAAAAAAAAAgMBAAAAAAAAAwQBAAAAAAAAAwBIAQAAAAAAAAQFAQAAAAAAAAUGAQAAAAAAAAYHAgAAAAAAAAYIAQAAAAAAAAgJAQAAAAAAAAgARYIDAAAAAAAJCgIDAAAAAAAJDgEAAAAAAAAKCwEAAAAAAAALDAICAAAAAAAMDQEAAAAAAAANDgICAAAAAAAODwEAAAAAAAAPAEQBAAAAAAAADwBFgQAAAAAAAABEAERBAAAAAAAAAEQARUEAAAAAAAAAREBEgQAAAAAAAABEgETBAAAAAAAAAETARQEAAAAAAAAARQBFQQAAAAAAAABFgEXBAAAAAAAAAEXARgEAAAAAAAAARgBGQgMAAAAAAABGAEdBAAAAAAAAAEZARoEAAAAAAAAARkBHwQAAAAAAAABGgEbCAgAAAAAAAEbARwEAAAAAAAAARwBHQgIAAAAAAABHQEeBAAAAAAAAAEgASEEAAAAAAAAASEBIgQAAAAAAAAAAAAA</t>
        </r>
      </text>
    </comment>
    <comment ref="A108" authorId="0" shapeId="0" xr:uid="{9AE67543-199F-480E-9F37-C332A1D6651F}">
      <text>
        <r>
          <rPr>
            <sz val="9"/>
            <color indexed="81"/>
            <rFont val="Segoe UI"/>
            <charset val="1"/>
          </rPr>
          <t>Insight iXlW00001C0000108R0279761703S00000214P02220LAocjBAQBF1NjaVRlZ2ljLmRhdGEuTW9sZWN1bGUBbQF/ARJTY2lUZWdpYy5Nb2xlY3VsZQAAAQFkAv5qAQAAAAIAAgEfGAAAAPz8APwAAgAAAAAAAPC/AjerPldb8RNAApJc/kP67fa/AAAAABgAAAD8/AD8AAIAAAAAAADwvwKL/WX35OEUQAJwXwfOGVEHwAAAAAAcAAAA/PwA/AACAAAAAAAA8L8CnDOitDc4EEACA5oIG57eDsAAAAAAGAAAAPz8APwAAgAAAAAAAPC/AiPb+X5qPAVAAm+jAbwFkgrAAAAAABgAAAD8/AD8AAIAAAAAAADwvwKzDHGsi1sDQAKP5PIf0m/9vwAAAAAcAAAA/PwA/AACAAAAAAAA8L8CWMoyxLGuDEAC097gC5Op7L8AAAAAGAAAAPz8APwAAgAAAAAAAPC/Aq8l5IOezQpAAsnlP6TfvuI/AAAAACAAAAD8/AD8AAIAAAAAAADwvwKq8dJNYhASQAIKaCJseHr4PwAAAAAYAAAA/PwA/AACAAAAAAAA8L8CNDMzMzMz/z8CDeAtkKD48T8AAAAAGAAAAPz8APwAAgAAAAAAAPC/AgfwFkhQ/Pg/Avp+arx0kwRAAAAAABgAAAD8/AD8AAIAAAAAAADwvwKCc0aU9gYDQALdRgN4C6QOQAAAAAAYAAAA/PwA/AACAAAAAAAA8L8C1lbsL7sn+z8C7Q2+MJmqFEAAAAAAGAAAAPz8APwAAgAAAAAAAPC/At/gC5Opgsk/Al8pyxDH+hRAAAAAABgAAAD8/AD8AAIAAAAAAADwvwLD9Shcj8LjvwLbiv1l9+QPQAAAAAAYAAAA/PwA/AACAAAAAAAA8L8CuY0G8BZIsD8C3bWEfNAzBUAAAAAAHAAAAPz8APwAAgAAAAAAAPC/AnBfB84ZUd6/Ao9TdCSX//M/AAAAABgAAAD8/AD8AAIAAAAAAADwvwI0orQ3+ML+vwLFILByaJHrPwAAAAAYAAAA/PwA/AACAAAAAAAA8L8CzhlR2ht8AsAC63O1FfvL4r8AAAAAGAAAAPz8APwAAgAAAAAAAPC/Avp+arx0Ew7AAidTBaOSOu+/AAAAABgAAAD8/AD8AAIAAAAAAADwvwKdoiO5/EcTwAKQoPgx5q61PwAAAAAYAAAA/PwA/AACAAAAAAAA8L8CJlMFo5K6EcACYVRSJ6CJ+D8AAAAAGAAAAPz8APwAAgAAAAAAAPC/AlkXt9EA3gfAAo6XbhKDwP4/AAAAACQAAAD8/AD8AAIAAAAAAADwvwIWak3zjhMZwAKP5PIf0m/TvwAAAAAYAAAA/PwA/AACAAAAAAAA8L8Cofgx5q4l5j8C9I5TdCSX0z8AAAAAIAAAAPz8APwAAgAAAAAAAPC/AhUdyeU/pOM/Am6jAbwFEvO/AAAAABgAAAD8/AD8AAIAAAAAAADwvwIB3gIJih/nvwIrhxbZzvf9vwAAAAAYAAAA/PwA/AACAAAAAAAA8L8CbxKDwMqh6b8CK4cW2c73CsAAAAAAGAAAAPz8APwAAgAAAAAAAPC/AmHD0ytlGQHAAoV80LNZNRDAAAAAABgAAAD8/AD8AAIAAAAAAADwvwJEi2zn+ykLwAKL/WX35OEJwAAAAAAYAAAA/PwA/AACAAAAAAAA8L8CYVRSJ6CJCsACXCBB8WPM+78AAAAAGAAAAPz8APwAAgAAAAAAAPC/Asb+snvysP+/Ai6QoPgx5vC/AAAAAAEjAAQEAAAAAAAAABQEAAAAAAAABAgEAAAAAAAACAwEAAAAAAAADBAEAAAAAAAAEBQEAAAAAAAAFBgEAAAAAAAAGBwIAAAAAAAAGCAEAAAAAAAAICQEAAAAAAAAIAEXCAwAAAAAACQoCAwAAAAAACQ4BAAAAAAAACgsBAAAAAAAACwwCAgAAAAAADA0BAAAAAAAADQ4CAgAAAAAADg8BAAAAAAAADwBEAQAAAAAAAA8ARcEAAAAAAAAARABEQgMAAAAAAABEAEVBAAAAAAAAAERARIEAAAAAAAAARIBEwgIAAAAAAABEwEUBAAAAAAAAAETARYEAAAAAAAAARQBFQgIAAAAAAABFwEYBAAAAAAAAAEYARkEAAAAAAAAARkBGggMAAAAAAABGQEeBAAAAAAAAAEaARsEAAAAAAAAARsBHAgIAAAAAAABHAEdBAAAAAAAAAEdAR4ICAAAAAAAAAAAAA==</t>
        </r>
      </text>
    </comment>
    <comment ref="A109" authorId="0" shapeId="0" xr:uid="{D8FA63BD-6D13-41FA-A88A-9AB60A87FAE9}">
      <text>
        <r>
          <rPr>
            <sz val="9"/>
            <color indexed="81"/>
            <rFont val="Segoe UI"/>
            <charset val="1"/>
          </rPr>
          <t>Insight iXlW00001C0000109R0279761703S00000216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g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Ad4CCYqfAcAC16NwPQrX8T8AAAAAGAAAAPz8APwAAgAAAAAAAPC/AgR4CyQo/gzAAsE5I0p7g/k/AAAAACAAAAD8/AD8AAIAAAAAAADwvwIJih9j7loPwAIvbqMBvIUIQAAAAAAYAAAA/PwA/AACAAAAAAAA8L8C1CtlGeJYBsACKA8LtaY5EEAAAAAAGAAAAPz8APwAAgAAAAAAAPC/AqMjufyH9PW/AlvTvOMUnQxAAAAAABgAAAD8/AD8AAIAAAAAAADwvwIuIR/0bFbpPwJd/kP67evIPwAAAAAYAAAA/PwA/AACAAAAAAAA8L8C95fdk4eFur8C3UYDeAsk8L8AAAAAGAAAAPz8APwAAgAAAAAAAPC/AubQItv5fvm/Apt3nKIjueq/AAAAABgAAAD8/AD8AAIAAAAAAADwvwJFR3L5D+kDwAI7AU2EDU8AwAAAAAAYAAAA/PwA/AACAAAAAAAA8L8C+cJkqmDUD8AC16NwPQrX/b8AAAAAGAAAAPz8APwAAgAAAAAAAPC/Au0vuycPSxLAAkT67evAOd+/AAAAABgAAAD8/AD8AAIAAAAAAADwvwIHgZVDi2wNwAIukKD4MebmPwAAAAAYAAAA/PwA/AACAAAAAAAA8L8CUwWjkjqBAcAC8tJNYhBY4T8AAAAAJAAAAPz8APwAAgAAAAAAAPC/AubQItv5fhPAAkA1XrpJjAjAAAAAABgAAAD8/AD8AAIAAAAAAADwvwLKVMGopE7+vwLek4eFWlMLwAAAAAABJAAEBAAAAAAAAAAUBAAAAAAAAAQIBAAAAAAAAAgMBAAAAAAAAAwQBAAAAAAAABAUBAAAAAAAABQYBAAAAAAAABgcCAAAAAAAABggBAAAAAAAACAkBAAAAAAAACABFggMAAAAAAAkKAgMAAAAAAAkOAQAAAAAAAAoLAQAAAAAAAAsMAgIAAAAAAAwNAQAAAAAAAA0OAgIAAAAAAA4PAQAAAAAAAA8ARAEAAAAAAAAPAEWBAAAAAAAAAEQAREEAAAAAAAAARABFQQAAAAAAAABEQESBAAAAAAAAAESARMEAAAAAAAAARMBFAQAAAAAAAABFAEVBAAAAAAAAAEWARcEAAAAAAAAARcBGAQAAAAAAAABGAEZCAwAAAAAAAEYAR0EAAAAAAAAARkBGgQAAAAAAAABGQEfBAAAAAAAAAEaARsICAAAAAAAARoBHgQAAAAAAAABGwEcBAAAAAAAAAEcAR0ICAAAAAAAAAAAAA==</t>
        </r>
      </text>
    </comment>
    <comment ref="A110" authorId="0" shapeId="0" xr:uid="{EBD9506C-7A41-442B-A10F-88396FFEF9C8}">
      <text>
        <r>
          <rPr>
            <sz val="9"/>
            <color indexed="81"/>
            <rFont val="Segoe UI"/>
            <charset val="1"/>
          </rPr>
          <t>Insight iXlW00001C0000110R0279761703S00000218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H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Y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11" authorId="0" shapeId="0" xr:uid="{AC5259CF-D099-4043-B1AD-91CCDC9424AB}">
      <text>
        <r>
          <rPr>
            <sz val="9"/>
            <color indexed="81"/>
            <rFont val="Segoe UI"/>
            <charset val="1"/>
          </rPr>
          <t>Insight iXlW00001C0000111R0279761703S00000220P02560LAocjBAQBF1NjaVRlZ2ljLmRhdGEuTW9sZWN1bGUBbQF/ARJTY2lUZWdpYy5Nb2xlY3VsZQAAAQFkAv5qAQAAAAIAAgEkGAAAAPz8APwAAgAAAAAAAPC/Ahsv3SQGQRrAAjbNO07RkZw/AAAAABgAAAD8/AD8AAIAAAAAAADwvwIVHcnlP+QcwALiWBe30QD2PwAAAAAcAAAA/PwA/AACAAAAAAAA8L8C7S+7Jw+LGcACvlKWIY71BEAAAAAAGAAAAPz8APwAAgAAAAAAAPC/AspUwaikjhPAAjPEsS5uIwRAAAAAABgAAAD8/AD8AAIAAAAAAADwvwLPZtXnausQwAK5HoXrUbjyPwAAAAAcAAAA/PwA/AACAAAAAAAA8L8C+FPjpZtEFMACAd4CCYofs78AAAAAGAAAAPz8APwAAgAAAAAAAPC/Av5l9+RhoRHAAo6XbhKDwPa/AAAAACAAAAD8/AD8AAIAAAAAAADwvwIKaCJsePoUwAIT8kHPZlUFwAAAAAAYAAAA/PwA/AACAAAAAAAA8L8CthX7y+5JB8ACMQisHFpk+L8AAAAAGAAAAPz8APwAAgAAAAAAAPC/AplMFYxK6gDAAne+nxovXQbAAAAAABgAAAD8/AD8AAIAAAAAAADwvwIwuycPCzUEwALByqFFtvMQwAAAAAAYAAAA/PwA/AACAAAAAAAA8L8CSHL5D+m3978CUI2XbhJDFcAAAAAAGAAAAPz8APwAAgAAAAAAAPC/Ailcj8L1KJy/AndPHhZqzRPAAAAAABgAAAD8/AD8AAIAAAAAAADwvwL6fmq8dJPYPwIbnl4pyxAMwAAAAAAYAAAA/PwA/AACAAAAAAAA8L8Ctch2vp8a5b8CxEKtad5xA8AAAAAAHAAAAPz8APwAAgAAAAAAAPC/AouO5PIf0uG/Avkx5q4l5O2/AAAAABgAAAD8/AD8AAIAAAAAAADwvwINAiuHFtnmPwKamZmZmZnBvwAAAAAYAAAA/PwA/AACAAAAAAAA8L8ClyGOdXEb5T8CYxBYObTI9T8AAAAAGAAAAPz8APwAAgAAAAAAAPC/AoiFWtO84/4/Ak7RkVz+QwFAAAAAABgAAAD8/AD8AAIAAAAAAADwvwJANV66SQwKQALQRNjw9Er3PwAAAAAYAAAA/PwA/AACAAAAAAAA8L8CXW3F/rJ7CkACrthfdk8epr8AAAAAGAAAAPz8APwAAgAAAAAAAPC/Av+ye/KwUABAAgAi/fZ14Oq/AAAAACAAAAD8/AD8AAIAAAAAAADwvwLtL7snD4sSQAIkufyH9NvnvwAAAAAYAAAA/PwA/AACAAAAAAAA8L8CHA3gLZCgF0AC6iYxCKwcqj8AAAAAGAAAAPz8APwAAgAAAAAAAPC/AlqGONbF7RxAAkhQ/Bhz1+S/AAAAABgAAAD8/AD8AAIAAAAAAADwvwI2PL1SlgEhQAIp7Q2+MJnCPwAAAAAgAAAA/PwA/AACAAAAAAAA8L8C1XjpJjGoI0ACT0ATYcPT4b8AAAAAGAAAAPz8APwAAgAAAAAAAPC/Am3n+6nxMiZAApeQD3o2q84/AAAAABgAAAD8/AD8AAIAAAAAAADwvwKUGARWDi3/vwIbwFsgQfHXvwAAAAAgAAAA/PwA/AACAAAAAAAA8L8C/Yf029eBAsAC0ETY8PRK8T8AAAAAGAAAAPz8APwAAgAAAAAAAPC/AktZhjjWxfO/AnUkl/+Q/gBAAAAAABgAAAD8/AD8AAIAAAAAAADwvwKxUGuad5z5vwLgvg6cM6IMQAAAAAAYAAAA/PwA/AACAAAAAAAA8L8CBTQRNjy94L8CduCcEaV9EkAAAAAAGAAAAPz8APwAAgAAAAAAAPC/AkLPZtXnau0/AiqpE9BE2BBAAAAAABgAAAD8/AD8AAIAAAAAAADwvwIHX5hMFYz0PwLpt68D5wwGQAAAAAAYAAAA/PwA/AACAAAAAAAA8L8CxEKtad5xyj8CumsJ+aBn+z8AAAAAASgABAQAAAAAAAAAFAQAAAAAAAAECAQAAAAAAAAIDAQAAAAAAAAMEAQAAAAAAAAQFAQAAAAAAAAUGAQAAAAAAAAYHAgAAAAAAAAYIAQAAAAAAAAgJAQAAAAAAAAgARwIDAAAAAAAJCgIDAAAAAAAJDgEAAAAAAAAKCwEAAAAAAAALDAICAAAAAAAMDQEAAAAAAAANDgICAAAAAAAODwEAAAAAAAAPAEQBAAAAAAAADwBHAQAAAAAAAABEAERCAwAAAAAAAEQARUEAAAAAAAAAREBEgQAAAAAAAABEgETCAgAAAAAAAETARQEAAAAAAAAARQBFQgIAAAAAAABFAEWBAAAAAAAAAEWARcEAAAAAAAAARcBGAQAAAAAAAABGAEZBAAAAAAAAAEZARoEAAAAAAAAARoBGwQAAAAAAAABHAEdBAAAAAAAAAEdAR4EAAAAAAAAAR4BHwgMAAAAAAABHgEjBAAAAAAAAAEfASAEAAAAAAAAASABIQgIAAAAAAABIQEiBAAAAAAAAAEiASMICAAAAAAAAAAAAA==</t>
        </r>
      </text>
    </comment>
    <comment ref="A112" authorId="0" shapeId="0" xr:uid="{FBBB8FB6-61BD-43DE-AF74-323D1FC3F69A}">
      <text>
        <r>
          <rPr>
            <sz val="9"/>
            <color indexed="81"/>
            <rFont val="Segoe UI"/>
            <charset val="1"/>
          </rPr>
          <t>Insight iXlW00001C0000112R0279761703S00000222P02220LAocjBAQBF1NjaVRlZ2ljLmRhdGEuTW9sZWN1bGUBbQF/ARJTY2lUZWdpYy5Nb2xlY3VsZQAAAQFkAv5qAQAAAAIAAgEfGAAAAPz8APwAAgAAAAAAAPC/AvRsVn2uNhBAAtnO91PjpQfAAAAAABgAAAD8/AD8AAIAAAAAAADwvwLA7J48LNQNQAIf9GxWfa4RwAAAAAAcAAAA/PwA/AACAAAAAAAA8L8C/Knx0k1iAkACB/AWSFB8E8AAAAAAGAAAAPz8APwAAgAAAAAAAPC/AsKopE5AE/M/Ane+nxov3Q7AAAAAABgAAAD8/AD8AAIAAAAAAADwvwKi1jTvOEX4PwLZzvdT4yUDwAAAAAAcAAAA/PwA/AACAAAAAAAA8L8CFa5H4XqUB0AChlrTvOMU/78AAAAAGAAAAPz8APwAAgAAAAAAAPC/Aj2bVZ+rLQpAAintDb4wmd6/AAAAACAAAAD8/AD8AAIAAAAAAADwvwIBb4EExc8SQAJgB84ZUdqbvwAAAAAYAAAA/PwA/AACAAAAAAAA8L8Cam/whclUAUACxY8xdy0h4T8AAAAAGAAAAPz8APwAAgAAAAAAAPC/Ao0o7Q2+sAJAAr8OnDOiNABAAAAAABgAAAD8/AD8AAIAAAAAAADwvwIv/yH99nUMQAKyv+yePCwHQAAAAAAYAAAA/PwA/AACAAAAAAAA8L8C5YOezapPC0ACOwFNhA2PEUAAAAAAGAAAAPz8APwAAgAAAAAAAPC/AjEIrBxaZABAAiNKe4MvDBRAAAAAABgAAAD8/AD8AAIAAAAAAADwvwIiH/RsVn3qPwKOBvAWSJAQQAAAAAAYAAAA/PwA/AACAAAAAAAA8L8CaLPqc7UV7z8CWMoyxLEuBUAAAAAAHAAAAPz8APwAAgAAAAAAAPC/Ahsv3SQGgaW/Agg9m1Wfq/g/AAAAABgAAAD8/AD8AAIAAAAAAADwvwIUP8bctYT4vwJPr5RliGP7PwAAAAAYAAAA/PwA/AACAAAAAAAA8L8CveMUHcllA8AC4C2QoPgx4D8AAAAAGAAAAPz8APwAAgAAAAAAAPC/AlK4HoXrUQ/AAm8Sg8DKoeU/AAAAABgAAAD8/AD8AAIAAAAAAADwvwJ3Tx4Wag0SwAIooImw4WkAQAAAAAAYAAAA/PwA/AACAAAAAAAA8L8CggTFjzH3DMACV+wvuycPCkAAAAAAGAAAAPz8APwAAgAAAAAAAPC/Au0vuycPCwHAAjQzMzMzswhAAAAAABgAAAD8/AD8AAIAAAAAAADwvwJ9PzVeuknmPwKKH2PuWkLOPwAAAAAgAAAA/PwA/AACAAAAAAAA8L8Cz4jS3uALsz8CdZMYBFYO8r8AAAAAGAAAAPz8APwAAgAAAAAAAPC/AvtcbcX+sva/AgmKH2PuWvS/AAAAABgAAAD8/AD8AAIAAAAAAADwvwIWak3zjlMAwAK4QILixxgFwAAAAAAYAAAA/PwA/AACAAAAAAAA8L8C2qz6XG1FDMACArwFEhQ/BsAAAAAAGAAAAPz8APwAAgAAAAAAAPC/AgOaCBuenhHAAsHKoUW28/i/AAAAABgAAAD8/AD8AAIAAAAAAADwvwJteHqlLEMOwALVmuYdp+jIvwAAAAAYAAAA/PwA/AACAAAAAAAA8L8CqTXNO05RAsAC6iYxCKwcqr8AAAAAGAAAAPz8APwAAgAAAAAAAPC/Alafq63YnxDAAtsbfGEylRD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oBHgQAAAAAAAABGwEcBAAAAAAAAAEcAR0ICAAAAAAAAAAAAA==</t>
        </r>
      </text>
    </comment>
    <comment ref="A113" authorId="0" shapeId="0" xr:uid="{104E0C87-F45F-4805-95F7-CDB17B84FD36}">
      <text>
        <r>
          <rPr>
            <sz val="9"/>
            <color indexed="81"/>
            <rFont val="Segoe UI"/>
            <charset val="1"/>
          </rPr>
          <t>Insight iXlW00001C0000113R0279761703S00000224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cAAAA/PwA/AACAAAAAAAA8L8CeXqlLEMc778CxNMrZRmiFcAAAAAAGAAAAPz8APwAAgAAAAAAAPC/Ag0CK4cW2eA/AhwN4C2QYBXAAAAAABgAAAD8/AD8AAIAAAAAAADwvwJKnYAmwobzPwICK4cW2Q4QwAAAAAAYAAAA/PwA/AACAAAAAAAA8L8C7Z48LNSa2j8C6Ugu/yH9BcAAAAAAHAAAAPz8APwAAgAAAAAAAPC/ArK/7J48LOo/ArMMcayL2/S/AAAAABgAAAD8/AD8AAIAAAAAAADwvwJFaW/whckBQAJuxf6ye/LovwAAAAAYAAAA/PwA/AACAAAAAAAA8L8CDwu1pnnHA0AC3gIJih9j5j8AAAAAGAAAAPz8APwAAgAAAAAAAPC/AmhEaW/wBQ9AAvp+arx0k/M/AAAAABgAAAD8/AD8AAIAAAAAAADwvwIX2c73UyMUQAJBE2HD0yvRPwAAAAAYAAAA/PwA/AACAAAAAAAA8L8CMQisHFokE0ACVp+rrdhf878AAAAAGAAAAPz8APwAAgAAAAAAAPC/AtIA3gIJCgtAAuGcEaW9wfu/AAAAABgAAAD8/AD8AAIAAAAAAADwvwKegCbChqfbvwLOO07RkVzevwAAAAAgAAAA/PwA/AACAAAAAAAA8L8CHeviNhrA378C3gIJih9j8D8AAAAAGAAAAPz8APwAAgAAAAAAAPC/AuC+Dpwzoug/Am14eqUsQ/0/AAAAABgAAAD8/AD8AAIAAAAAAADwvwKgibDh6ZXmPwJYW7G/7J4KQAAAAAAYAAAA/PwA/AACAAAAAAAA8L8CB1+YTBWM/z8CDwu1pnmHEEAAAAAAGAAAAPz8APwAAgAAAAAAAPC/Arfz/dR4aQpAAv2H9NvXgQtAAAAAABgAAAD8/AD8AAIAAAAAAADwvwIHgZVDi+wKQAK40QDeAgn/PwAAAAAYAAAA/PwA/AACAAAAAAAA8L8C63O1FfvLAEACKVyPwvUo8j8AAAAAG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ZAR4EAAAAAAAAARoBGwgIAAAAAAABGwEcBAAAAAAAAAEcAR0ICAAAAAAAAAAAAA==</t>
        </r>
      </text>
    </comment>
    <comment ref="A114" authorId="0" shapeId="0" xr:uid="{85303A89-0FC5-4A51-A552-EDA1F53F3D9A}">
      <text>
        <r>
          <rPr>
            <sz val="9"/>
            <color indexed="81"/>
            <rFont val="Segoe UI"/>
            <charset val="1"/>
          </rPr>
          <t>Insight iXlW00001C0000114R0279761703S00000226P02420LAocjBAQBF1NjaVRlZ2ljLmRhdGEuTW9sZWN1bGUBbQF/ARJTY2lUZWdpYy5Nb2xlY3VsZQAAAQFkAv5qAQAAAAIAAgEiGAAAAPz8APwAAgAAAAAAAPC/AqH4MeauJfA/AqMjufyHNBPAAAAAABgAAAD8/AD8AAIAAAAAAADwvwKBlUOLbOfDvwIj2/l+avwWwAAAAAAcAAAA/PwA/AACAAAAAAAA8L8CEOm3rwPn+L8CZTvfT43XFMAAAAAAGAAAAPz8APwAAgAAAAAAAPC/ApGg+DHmrvy/AkzIBz2b1Q3AAAAAABgAAAD8/AD8AAIAAAAAAADwvwJhw9MrZRnkvwITg8DKoUUGwAAAAAAcAAAA/PwA/AACAAAAAAAA8L8CQYLix5i76D8CkML1KFyPCsAAAAAAGAAAAPz8APwAAgAAAAAAAPC/AnGsi9toAP8/Ald9rrZi/wLAAAAAACAAAAD8/AD8AAIAAAAAAADwvwKhZ7Pqc7UKQALUvOMUHUkHwAAAAAAYAAAA/PwA/AACAAAAAAAA8L8C8fRKWYY4+z8Cg+LHmLuW7L8AAAAAGAAAAPz8APwAAgAAAAAAAPC/Atlfdk8eFgZAAj29UpYhjsU/AAAAABgAAAD8/AD8AAIAAAAAAADwvwK30QDeAgkRQAIXSFD8GHO3PwAAAAAYAAAA/PwA/AACAAAAAAAA8L8CI0p7gy9MFEACz/dT46Wb9T8AAAAAHAAAAPz8APwAAgAAAAAAAPC/Aqk1zTtOkRFAAiEf9GxWfQVAAAAAABgAAAD8/AD8AAIAAAAAAADwvwK7Jw8LtSYHQALtnjws1BoGQAAAAAAYAAAA/PwA/AACAAAAAAAA8L8C4zYawFugAEACG55eKcsQ+D8AAAAAHAAAAPz8APwAAgAAAAAAAPC/ArTIdr6fGuM/AgyTqYJRSfQ/AAAAABgAAAD8/AD8AAIAAAAAAADwvwI7kst/SL/dvwKu2F92T54CQAAAAAAYAAAA/PwA/AACAAAAAAAA8L8CTRWMSuoEtL8C9WxWfa42DkAAAAAAGAAAAPz8APwAAgAAAAAAAPC/Aj4K16NwPfK/Ag6+MJkqWBNAAAAAABgAAAD8/AD8AAIAAAAAAADwvwJpke18P7UEwAK30QDeAskRQAAAAAAYAAAA/PwA/AACAAAAAAAA8L8CBqOSOgHNB8ACYeXQItv5B0AAAAAAGAAAAPz8APwAAgAAAAAAAPC/AiL99nXgnP6/AgAAAAAAAP8/AAAAABgAAAD8/AD8AAIAAAAAAADwvwKyne+nxkvXPwKppE5AE2HLvwAAAAAYAAAA/PwA/AACAAAAAAAA8L8CDr4wmSoY778CAk2EDU+v7L8AAAAAGAAAAPz8APwAAgAAAAAAAPC/AiqpE9BE2AHAAgJNhA1Pr7S/AAAAABgAAAD8/AD8AAIAAAAAAADwvwKX/5B++zoBwAJbQj7o2az2PwAAAAAYAAAA/PwA/AACAAAAAAAA8L8CPnlYqDVNC8ACzTtO0ZHcAUAAAAAAGAAAAPz8APwAAgAAAAAAAPC/Alg5tMh2/hLAAiDSb18Hzvg/AAAAABgAAAD8/AD8AAIAAAAAAADwvwIijnVxG00TwAJ90LNZ9bmqPwAAAAAYAAAA/PwA/AACAAAAAAAA8L8CnaIjufyHDMACeC0hH/Rs6L8AAAAAGAAAAPz8APwAAgAAAAAAAPC/AjBMpgpGJQ3AAvSOU3QkFwLAAAAAACQAAAD8/AD8AAIAAAAAAADwvwLbiv1l96QYwALtDb4wmSrkvwAAAAAgAAAA/PwA/AACAAAAAAAA8L8C7uvAOSNKGkACOPjCZKpg9D8AAAAAGAAAAPz8APwAAgAAAAAAAPC/AmkAb4EEBR1AAnrHKTqSy6+/AAAAAAEmAAQEAAAAAAAAABQEAAAAAAAABAgEAAAAAAAACAwEAAAAAAAADBAEAAAAAAAAEBQEAAAAAAAAFBgEAAAAAAAAGBwIAAAAAAAAGCAEAAAAAAAAICQEAAAAAAAAIAEWCAwAAAAAACQoCAwAAAAAACQ4BAAAAAAAACgsBAAAAAAAACwwCAgAAAAAACwBIAQA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SABIQQAAAAAAAAAAAAA</t>
        </r>
      </text>
    </comment>
    <comment ref="A115" authorId="0" shapeId="0" xr:uid="{8963DFBE-53FF-438C-A801-5B665057E28E}">
      <text>
        <r>
          <rPr>
            <sz val="9"/>
            <color indexed="81"/>
            <rFont val="Segoe UI"/>
            <charset val="1"/>
          </rPr>
          <t>Insight iXlW00001C0000115R0279761703S00000228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wAAAD8/AD8AAIAAAAAAADwvwL0jlN0JBcAQAKRD3o2qz4PQAAAAAAYAAAA/PwA/AACAAAAAAAA8L8CQs9m1edq9D8CJzEIrBzaFEAAAAAAG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Y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16" authorId="0" shapeId="0" xr:uid="{F45B3294-07E3-498C-ADC4-D2CF892D4FCE}">
      <text>
        <r>
          <rPr>
            <sz val="9"/>
            <color indexed="81"/>
            <rFont val="Segoe UI"/>
            <charset val="1"/>
          </rPr>
          <t>Insight iXlW00001C0000116R0279761703S00000230P02220LAocjBAQBF1NjaVRlZ2ljLmRhdGEuTW9sZWN1bGUBbQF/ARJTY2lUZWdpYy5Nb2xlY3VsZQAAAQFkAv5qAQAAAAIAAgEfGAAAAPz8APwAAgAAAAAAAPC/ApeQD3o2axPAAgR4CyQofuo/AAAAABgAAAD8/AD8AAIAAAAAAADwvwJNFYxK6gQVwALkpZvEIDACQAAAAAAcAAAA/PwA/AACAAAAAAAA8L8CAW+BBMXPEMACIGPuWkK+CkAAAAAAGAAAAPz8APwAAgAAAAAAAPC/Av2H9NvXAQbAAgmsHFpkuwdAAAAAABgAAAD8/AD8AAIAAAAAAADwvwKRfvs6cM4CwAJMyAc9m1X4PwAAAAAcAAAA/PwA/AACAAAAAAAA8L8CKssQx7o4C8ACTDeJQWDl3D8AAAAAGAAAAPz8APwAAgAAAAAAAPC/Ar7BFyZTBQjAAuWDns2qz++/AAAAACAAAAD8/AD8AAIAAAAAAADwvwIrhxbZzjcQwAL9h/Tb14EAwAAAAAAYAAAA/PwA/AACAAAAAAAA8L8Cc9cS8kHP+L8CIbByaJHt9b8AAAAAGAAAAPz8APwAAgAAAAAAAPC/AhHHuriNBvC/AjY8vVKWIQbAAAAAABwAAAD8/AD8AAIAAAAAAADwvwLJ5T+k3776vwKti9toAG8QwAAAAAAYAAAA/PwA/AACAAAAAAAA8L8C3GgAb4EE678CHHxhMlVwFcAAAAAAGAAAAPz8APwAAgAAAAAAAPC/AmrecYqO5OQ/At6Th4VaExXAAAAAABgAAAD8/AD8AAIAAAAAAADwvwLtDb4wmSr1PwJgdk8eFmoPwAAAAAAYAAAA/PwA/AACAAAAAAAA8L8CDCQofoy53z8CumsJ+aBnBcAAAAAAHAAAAPz8APwAAgAAAAAAAPC/AoGVQ4ts5+s/Amsr9pfdk/O/AAAAABgAAAD8/AD8AAIAAAAAAADwvwKGyVTBqCQCQAIv3SQGgZXlvwAAAAAYAAAA/PwA/AACAAAAAAAA8L8CzqrP1VbsA0ACNYC3QILi6T8AAAAAGAAAAPz8APwAAgAAAAAAAPC/AixlGeJYFw9AAn3Qs1n1ufU/AAAAABgAAAD8/AD8AAIAAAAAAADwvwIFNBE2PD0UQAK1yHa+nxrbPwAAAAAYAAAA/PwA/AACAAAAAAAA8L8CYcPTK2VZE0AChXzQs1n18L8AAAAAGAAAAPz8APwAAgAAAAAAAPC/Ap2iI7n8hwtAAueMKO0Nvvm/AAAAABgAAAD8/AD8AAIAAAAAAADwvwLjNhrAWyDZvwIf9GxWfa7avwAAAAAYAAAA/PwA/AACAAAAAAAA8L8Cx7q4jQbw3r8Cm+Ydp+hI8T8AAAAAGAAAAPz8APwAAgAAAAAAAPC/AjbNO07Rkeg/AveX3ZOHhf4/AAAAABgAAAD8/AD8AAIAAAAAAADwvwKppE5AE+EAQAI+eVioNc3zPwAAAAAYAAAA/PwA/AACAAAAAAAA8L8CiIVa07zjCkACFD/G3LWEAEAAAAAAGAAAAPz8APwAAgAAAAAAAPC/Agu1pnnHKQpAAubQItv5fgxAAAAAABgAAAD8/AD8AAIAAAAAAADwvwJgB84ZUdr+PwI9m1Wfq+0QQAAAAAAYAAAA/PwA/AACAAAAAAAA8L8CJuSDns2q5T8CzV1LyAc9C0AAAAAAGAAAAPz8APwAAgAAAAAAAPC/AmHl0CLb+fm/AqkT0ETYcA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XAR4EAAAAAAAAARgBGQgMAAAAAAABGAEdBAAAAAAAAAEZARoEAAAAAAAAARoBGwgIAAAAAAABGwEcBAAAAAAAAAEcAR0ICAAAAAAAAAAAAA==</t>
        </r>
      </text>
    </comment>
    <comment ref="A117" authorId="0" shapeId="0" xr:uid="{0CEC8660-DCE9-4506-BD71-163B19DD0D42}">
      <text>
        <r>
          <rPr>
            <sz val="9"/>
            <color indexed="81"/>
            <rFont val="Segoe UI"/>
            <charset val="1"/>
          </rPr>
          <t>Insight iXlW00001C0000117R0279761703S00000232P02488LAocjBAQBF1NjaVRlZ2ljLmRhdGEuTW9sZWN1bGUBbQF/ARJTY2lUZWdpYy5Nb2xlY3VsZQAAAQFkAv5qAQAAAAIAAgEjGAAAAPz8APwAAgAAAAAAAPC/AktZhjjWxfi/AvjCZKpglBLAAAAAABgAAAD8/AD8AAIAAAAAAADwvwKS7Xw/NV4IwAK4rwPnjOgSwAAAAAAcAAAA/PwA/AACAAAAAAAA8L8CWoY41sXtDsACaQBvgQTFC8AAAAAAGAAAAPz8APwAAgAAAAAAAPC/Av2H9NvXgQnAAqrx0k1iEAHAAAAAABgAAAD8/AD8AAIAAAAAAADwvwIijnVxGw37vwLyQc9m1WcAwAAAAAAcAAAA/PwA/AACAAAAAAAA8L8CJLn8h/Tb678CMnctIR90CsAAAAAAGAAAAPz8APwAAgAAAAAAAPC/Am6jAbwFEuQ/ArOd76fGywnAAAAAACAAAAD8/AD8AAIAAAAAAADwvwLWVuwvuyf3PwJ56SYxCOwRwAAAAAAYAAAA/PwA/AACAAAAAAAA8L8C/yH99nXg9D8C5x2n6Egu/r8AAAAAGAAAAPz8APwAAgAAAAAAAPC/AgyTqYJRSQZAApLtfD81Xvq/AAAAABgAAAD8/AD8AAIAAAAAAADwvwL+ZffkYaEPQAK8lpAPerYEwAAAAAAcAAAA/PwA/AACAAAAAAAA8L8Cmggbnl5pFUACNYC3QIJiAMAAAAAAGAAAAPz8APwAAgAAAAAAAPC/AoSezarPVRZAAuomMQisHOK/AAAAABgAAAD8/AD8AAIAAAAAAADwvwILtaZ5x6kRQALFsS5uowHYPwAAAAAYAAAA/PwA/AACAAAAAAAA8L8CGJXUCWgiCEAC6wQ0ETY8xb8AAAAAHAAAAPz8APwAAgAAAAAAAPC/ArMMcayL2/o/Ajj4wmSqYOA/AAAAABgAAAD8/AD8AAIAAAAAAADwvwLtL7snDwv3PwLE0ytlGeL/PwAAAAAYAAAA/PwA/AACAAAAAAAA8L8CwOyePCzUBEACo5I6AU2EB0AAAAAAGAAAAPz8APwAAgAAAAAAAPC/ApXUCWgi7AJAAjzfT42XrhFAAAAAABgAAAD8/AD8AAIAAAAAAADwvwKEns2qz9XuPwLhC5OpgtETQAAAAAAYAAAA/PwA/AACAAAAAAAA8L8CidLe4AuTyb8CnaIjufwHEEAAAAAAGAAAAPz8APwAAgAAAAAAAPC/AoPAyqFFtqM/Ai1DHOviNgRAAAAAABgAAAD8/AD8AAIAAAAAAADwvwJCYOXQItvjPwLZzvdT46XhvwAAAAAYAAAA/PwA/AACAAAAAAAA8L8Cp3nHKTqS678CUI2XbhKD1L8AAAAAGAAAAPz8APwAAgAAAAAAAPC/AuLplbIMcfa/AqjGSzeJQfE/AAAAABgAAAD8/AD8AAIAAAAAAADwvwLwp8ZLN4ndvwJ+jLlrCfkBQAAAAAAYAAAA/PwA/AACAAAAAAAA8L8CCtejcD0K8L8CfWEyVTAqDUAAAAAAGAAAAPz8APwAAgAAAAAAAPC/Av8h/fZ14APAAoljXdxGAw9AAAAAABgAAAD8/AD8AAIAAAAAAADwvwLyQc9m1WcLwAJfukkMAqsFQAAAAAAYAAAA/PwA/AACAAAAAAAA8L8Cayv2l90TB8ACwcqhRbbz9D8AAAAAGAAAAPz8APwAAgAAAAAAAPC/Al5LyAc9mw7AAmHD0ytlGcI/AAAAACQAAAD8/AD8AAIAAAAAAADwvwI2PL1SlqETwAJrvHSTGIQHQAAAAAAgAAAA/PwA/AACAAAAAAAA8L8CIPRsVn3uG0ACmpmZmZmZmb8AAAAAGAAAAPz8APwAAgAAAAAAAPC/AmMQWDm0CBDAAqrx0k1iEOy/AAAAACAAAAD8/AD8AAIAAAAAAADwvwLZ8PRKWQYWwAKoV8oyxLHuvwAAAAABJwAEBAAAAAAAAAAUBAAAAAAAAAQIBAAAAAAAAAgMBAAAAAAAAAwQBAAAAAAAAAwBIQQAAAAAAAAQFAQAAAAAAAAUGAQAAAAAAAAYHAgAAAAAAAAYIAQAAAAAAAAgJAQAAAAAAAAgARYIDAAAAAAAJCgIDAAAAAAAJDgEAAAAAAAAKCwEAAAAAAAALDAEAAAAAAAAMDQEAAAAAAAAMAEgCAAAAAAAADQ4CAgAAAAAADg8BAAAAAAAADwBEAQAAAAAAAA8ARYEAAAAAAAAARABEQQAAAAAAAABEAEVBAAAAAAAAAERARIEAAAAAAAAARIBEwQAAAAAAAABEwEUBAAAAAAAAAEUARUEAAAAAAAAARYBFwQAAAAAAAABFwEYBAAAAAAAAAEYARkIDAAAAAAAARgBHQQAAAAAAAABGQEaBAAAAAAAAAEaARsICAAAAAAAARsBHAQAAAAAAAABHAEdCAgAAAAAAAEcAR8EAAAAAAAAAR0BHgQAAAAAAAABIQEiBAAAAAAAAAAAAAA=</t>
        </r>
      </text>
    </comment>
    <comment ref="A118" authorId="0" shapeId="0" xr:uid="{5542DB60-48A6-4901-96A9-04375E799828}">
      <text>
        <r>
          <rPr>
            <sz val="9"/>
            <color indexed="81"/>
            <rFont val="Segoe UI"/>
            <charset val="1"/>
          </rPr>
          <t>Insight iXlW00001C0000118R0279761703S00000234P02488LAocjBAQBF1NjaVRlZ2ljLmRhdGEuTW9sZWN1bGUBbQF/ARJTY2lUZWdpYy5Nb2xlY3VsZQAAAQFkAv5qAQAAAAIAAgEjGAAAAPz8APwAAgAAAAAAAPC/AgHeAgmKHwTAAnsUrkfhehDAAAAAABgAAAD8/AD8AAIAAAAAAADwvwKY3ZOHhdoPwAKSXP5D+m0OwAAAAAAcAAAA/PwA/AACAAAAAAAA8L8CpU5AE2HDEcACjNtoAG8BA8AAAAAAGAAAAPz8APwAAgAAAAAAAPC/ApwzorQ3eAvAAtNNYhBYOfS/AAAAABgAAAD8/AD8AAIAAAAAAADwvwJ7FK5H4Xr/vwIMk6mCUUn5vwAAAAAcAAAA/PwA/AACAAAAAAAA8L8Cp+hILv8h+L8CjErqBDQRCMAAAAAAGAAAAPz8APwAAgAAAAAAAPC/Aj29UpYhjqW/AvAWSFD8mArAAAAAACAAAAD8/AD8AAIAAAAAAADwvwKoV8oyxLHaPwL7y+7JwwITwAAAAAAYAAAA/PwA/AACAAAAAAAA8L8C4noUrkfh7j8ChzjWxW20AcAAAAAAGAAAAPz8APwAAgAAAAAAAPC/AoNRSZ2ApgNAAq36XG3F/gLAAAAAABwAAAD8/AD8AAIAAAAAAADwvwIjbHh6pawKQAJE+u3rwLkMwAAAAAAYAAAA/PwA/AACAAAAAAAA8L8CdZMYBFZOE0AC/Yf029eBC8AAAAAAGAAAAPz8APwAAgAAAAAAAPC/AqVOQBNhwxVAApDC9ShcjwDAAAAAABgAAAD8/AD8AAIAAAAAAADwvwJxrIvbaEASQALDZKpgVFLrvwAAAAAYAAAA/PwA/AACAAAAAAAA8L8C48eYu5aQCEACf2q8dJMY8L8AAAAAHAAAAPz8APwAAgAAAAAAAPC/AvLSTWIQWP8/Ai9uowG8BVI/AAAAABgAAAD8/AD8AAIAAAAAAADwvwKgq63YX/YAQAJxzojS3uD3PwAAAAAYAAAA/PwA/AACAAAAAAAA8L8Ctch2vp8a7T8CL26jAbwFA0AAAAAAGAAAAPz8APwAAgAAAAAAAPC/AhiV1AloIvE/AvmgZ7Pq8w5AAAAAABgAAAD8/AD8AAIAAAAAAADwvwIlBoGVQ4sDQAJnZmZmZuYRQAAAAAAYAAAA/PwA/AACAAAAAAAA8L8C0NVW7C87DUAC18VtNIC3DEAAAAAAGAAAAPz8APwAAgAAAAAAAPC/AnE9Ctej8AtAAgyTqYJRyQBAAAAAABgAAAD8/AD8AAIAAAAAAADwvwLPiNLe4AvlPwL1SlmGONbnvwAAAAAgAAAA/PwA/AACAAAAAAAA8L8CyeU/pN++5r8C1sVtNIC3wL8AAAAAGAAAAPz8APwAAgAAAAAAAPC/AgRWDi2yneu/AtS84xQdyfU/AAAAABgAAAD8/AD8AAIAAAAAAADwvwInMQisHNoBwAKTqYJRSZ3/PwAAAAAYAAAA/PwA/AACAAAAAAAA8L8CNs07TtERA8ACyeU/pN++C0AAAAAAGAAAAPz8APwAAgAAAAAAAPC/Aq5H4XoUrvK/AhiV1AloYhFAAAAAABgAAAD8/AD8AAIAAAAAAADwvwLufD81XrrJPwLRs1n1udoNQAAAAAAYAAAA/PwA/AACAAAAAAAA8L8C7Z48LNSa1j8CCvmgZ7PqAUAAAAAAGAAAAPz8APwAAgAAAAAAAPC/AoQvTKYKRv0/AkeU9gZfmP8/AAAAABgAAAD8/AD8AAIAAAAAAADwvwKGWtO845QLwAJUdCSX/5DxPwAAAAAYAAAA/PwA/AACAAAAAAAA8L8ChslUwagkD8ACy6FFtvP9xD8AAAAAGAAAAPz8APwAAgAAAAAAAPC/Ao/k8h/SbxXAAgU0ETY8vd4/AAAAABgAAAD8/AD8AAIAAAAAAADwvwJoRGlv8EUXwAIOT6+UZYj+PwAAAAABJwAEBAAAAAAAAAAUBAAAAAAAAAQIBAAAAAAAAAgMBAAAAAAAAAwQBAAAAAAAAAwBI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EgASEEAAAAAAAAASEBIgQAAAAAAAAAAAAA</t>
        </r>
      </text>
    </comment>
    <comment ref="A119" authorId="0" shapeId="0" xr:uid="{F4A260EE-0F36-4E02-8C93-9726EA01E461}">
      <text>
        <r>
          <rPr>
            <sz val="9"/>
            <color indexed="81"/>
            <rFont val="Segoe UI"/>
            <charset val="1"/>
          </rPr>
          <t>Insight iXlW00001C0000119R0279761703S00000236P02420LAocjBAQBF1NjaVRlZ2ljLmRhdGEuTW9sZWN1bGUBbQF/ARJTY2lUZWdpYy5Nb2xlY3VsZQAAAQFkAv5qAQAAAAIAAgEiGAAAAPz8APwAAgAAAAAAAPC/AgU0ETY8vQpAAvkx5q4l5AzAAAAAABgAAAD8/AD8AAIAAAAAAADwvwILtaZ5x6kGQAKD4seYuxYUwAAAAAAcAAAA/PwA/AACAAAAAAAA8L8C3bWEfNCz9T8CMEymCkYlFcAAAAAAGAAAAPz8APwAAgAAAAAAAPC/AplMFYxK6tg/AlfsL7snjxDAAAAAABgAAAD8/AD8AAIAAAAAAADwvwJSSZ2AJsLsPwKiRbbz/dQFwAAAAAAcAAAA/PwA/AACAAAAAAAA8L8CqoJRSZ0AA0ACSHL5D+m3A8AAAAAAGAAAAPz8APwAAgAAAAAAAPC/Amsr9pfdEwdAAgYSFD/G3PC/AAAAACAAAAD8/AD8AAIAAAAAAADwvwLgLZCg+HERQAKi1jTvOEXpvwAAAAAYAAAA/PwA/AACAAAAAAAA8L8CIPRsVn2u/j8C0NVW7C+7tz8AAAAAGAAAAPz8APwAAgAAAAAAAPC/Ai1DHOviNgJAAmMQWDm0yPg/AAAAABgAAAD8/AD8AAIAAAAAAADwvwJ6xyk6kssMQAKTOgFNhA0CQAAAAAAYAAAA/PwA/AACAAAAAAAA8L8CyXa+nxovDUACz4jS3uALDkAAAAAAGAAAAPz8APwAAgAAAAAAAPC/ApLLf0i//QJAAnE9CtejMBJAAAAAABwAAAD8/AD8AAIAAAAAAADwvwIa4lgXt9HwPwKASL99HbgOQAAAAAAYAAAA/PwA/AACAAAAAAAA8L8C7S+7Jw8L8D8CRPrt68C5AkAAAAAAHAAAAPz8APwAAgAAAAAAAPC/ArN78rBQa8K/AtKRXP5D+vU/AAAAABgAAAD8/AD8AAIAAAAAAADwvwLtnjws1Jr5vwIMJCh+jLn7PwAAAAAYAAAA/PwA/AACAAAAAAAA8L8CBFYOLbIdBcAChJ7Nqs/V5D8AAAAAGAAAAPz8APwAAgAAAAAAAPC/AuC+DpwzYhDAAnxhMlUwKvA/AAAAABgAAAD8/AD8AAIAAAAAAADwvwJaZDvfTw0SwAIIzhlR2psDQAAAAAAYAAAA/PwA/AACAAAAAAAA8L8C7uvAOSPKC8ACbXh6pSxDDEAAAAAAGAAAAPz8APwAAgAAAAAAAPC/Amyad5yiIwDAAk+vlGWIYwlAAAAAABgAAAD8/AD8AAIAAAAAAADwvwJh5dAi2/naPwJ2cRsN4C2QvwAAAAAgAAAA/PwA/AACAAAAAAAA8L8Cc/kP6bev178CwhcmUwWj9L8AAAAAGAAAAPz8APwAAgAAAAAAAPC/AtWa5h2n6P2/ApVliGNd3PO/AAAAABgAAAD8/AD8AAIAAAAAAADwvwJFaW/whUkFwAIB3gIJih8EwAAAAAAYAAAA/PwA/AACAAAAAAAA8L8C3UYDeAukEMAC6wQ0ETa8A8AAAAAAGAAAAPz8APwAAgAAAAAAAPC/AvH0SlmGeBPAAspUwaikTvK/AAAAABgAAAD8/AD8AAIAAAAAAADwvwIE54wo7U0QwAIcDeAtkKDAPwAAAAAYAAAA/PwA/AACAAAAAAAA8L8CzH9Iv32dBMACVTAqqRPQtD8AAAAAJAAAAPz8APwAAgAAAAAAAPC/AjWAt0CCIhPAAj4K16NwPfc/AAAAABgAAAD8/AD8AAIAAAAAAADwvwI3GsBbIEH/vwJOYhBYObQOwAAAAAAYAAAA/PwA/AACAAAAAAAA8L8CWDm0yHZ+E0ACcT0K16Nw9z8AAAAAGAAAAPz8APwAAgAAAAAAAPC/An/7OnDOyBhAAhpR2ht8YQFAAAAAAAEmAAQEAAAAAAAAABQEAAAAAAAABAgEAAAAAAAACAwEAAAAAAAADBAEAAAAAAAAEBQEAAAAAAAAFBgEAAAAAAAAGBwIAAAAAAAAGCAEAAAAAAAAICQEAAAAAAAAIAEWCAwAAAAAACQoCAwAAAAAACQ4BAAAAAAAACgsBAAAAAAAACgBIAQAAAAAAAAsMAgI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cAR4EAAAAAAAAASABIQQAAAAAAAAAAAAA</t>
        </r>
      </text>
    </comment>
    <comment ref="A120" authorId="0" shapeId="0" xr:uid="{53F2F36F-B413-4212-A3C4-6B4AC346300C}">
      <text>
        <r>
          <rPr>
            <sz val="9"/>
            <color indexed="81"/>
            <rFont val="Segoe UI"/>
            <charset val="1"/>
          </rPr>
          <t>Insight iXlW00001C0000120R0279761703S00000238P02420LAocjBAQBF1NjaVRlZ2ljLmRhdGEuTW9sZWN1bGUBbQF/ARJTY2lUZWdpYy5Nb2xlY3VsZQAAAQFkAv5qAQAAAAIAAgEiGAAAAPz8APwAAgAAAAAAAPC/Ahlz1xLyQf8/AiZTBaOSehLAAAAAABgAAAD8/AD8AAIAAAAAAADwvwLAfR04Z0TwPwJgdk8eFioXwAAAAAAcAAAA/PwA/AACAAAAAAAA8L8C9UpZhjjW3b8CNKK0N/hCFsAAAAAAGAAAAPz8APwAAgAAAAAAAPC/AuAtkKD4MfC/As6qz9VWrBDAAAAAABgAAAD8/AD8AAIAAAAAAADwvwJmiGNd3EazvwIoDwu1pvkHwAAAAAAcAAAA/PwA/AACAAAAAAAA8L8C9pfdk4eF9j8CgbdAguLHCcAAAAAAGAAAAPz8APwAAgAAAAAAAPC/AqjGSzeJwQJAAg1xrIvbaADAAAAAACAAAAD8/AD8AAIAAAAAAADwvwLnriXkg54OQAItQxzr4jYCwAAAAAAYAAAA/PwA/AACAAAAAAAA8L8CLbKd76fG/D8CAwmKH2Pu5L8AAAAAGAAAAPz8APwAAgAAAAAAAPC/AgYSFD/G3ARAAs4ZUdobfOM/AAAAABgAAAD8/AD8AAIAAAAAAADwvwILRiV1AloQQAJI4XoUrkfrPwAAAAAYAAAA/PwA/AACAAAAAAAA8L8CK4cW2c53EkACeAskKH4MAkAAAAAAGAAAAPz8APwAAgAAAAAAAPC/AogW2c73Uw1AAsDsnjwsVAtAAAAAABgAAAD8/AD8AAIAAAAAAADwvwJ4nKIjuXwBQAKppE5AE2EJQAAAAAAYAAAA/PwA/AACAAAAAAAA8L8CbjSAt0CC+j8CBqOSOgFN/D8AAAAAHAAAAPz8APwAAgAAAAAAAPC/Aldbsb/sntA/AuPHmLuWkPM/AAAAABgAAAD8/AD8AAIAAAAAAADwvwIijnVxGw3wvwIZc9cS8kEAQAAAAAAYAAAA/PwA/AACAAAAAAAA8L8CAU2EDU+vAsACIR/0bFZ99T8AAAAAGAAAAPz8APwAAgAAAAAAAPC/An0/NV66yQzAAoBIv30dOAFAAAAAABgAAAD8/AD8AAIAAAAAAADwvwIJrBxaZDsMwAL45GGh1jQNQAAAAAAYAAAA/PwA/AACAAAAAAAA8L8CUfwYc9eSAcACQKTfvg5cEUAAAAAAGAAAAPz8APwAAgAAAAAAAPC/AnHOiNLe4O2/ApEPejarPgxAAAAAABgAAAD8/AD8AAIAAAAAAADwvwK1pnnHKTrWPwKJ0t7gC5PRvwAAAAAgAAAA/PwA/AACAAAAAAAA8L8CxbEubqMB6r8CQKTfvg6c878AAAAAGAAAAPz8APwAAgAAAAAAAPC/Apf/kH77ugHAAl+YTBWMSua/AAAAABgAAAD8/AD8AAIAAAAAAADwvwJ2cRsN4K0DwALgT42XbhLpPwAAAAAYAAAA/PwA/AACAAAAAAAA8L8CnMQgsHLoDsACcayL22gA9T8AAAAAGAAAAPz8APwAAgAAAAAAAPC/AvLSTWIQGBTAAk7zjlN0JNc/AAAAABgAAAD8/AD8AAIAAAAAAADwvwIDmggbnh4TwAJMN4lBYOXxvwAAAAAYAAAA/PwA/AACAAAAAAAA8L8C3+ALk6kCC8ACzjtO0ZFc+r8AAAAAGAAAAPz8APwAAgAAAAAAAPC/AgFvgQTFDwnAAveX3ZOHBQnAAAAAACQAAAD8/AD8AAIAAAAAAADwvwI9m1Wfq20QwAJIUPwYc1cGQAAAAAAgAAAA/PwA/AACAAAAAAAA8L8CM8SxLm5jGEACV32utmL/A0AAAAAAGAAAAPz8APwAAgAAAAAAAPC/AhvAWyBBMRxAAh44Z0Rpb/U/AAAAAAEmAAQEAAAAAAAAABQEAAAAAAAABAgEAAAAAAAACAwEAAAAAAAADBAEAAAAAAAAEBQEAAAAAAAAFBgEAAAAAAAAGBwIAAAAAAAAGCAEAAAAAAAAICQEAAAAAAAAIAEWCAwAAAAAACQoCAwAAAAAACQ4BAAAAAAAACgsBAAAAAAAACwwCAgAAAAAACwBIAQAAAAAAAAwNAQAAAAAAAA0OAgIAAAAAAA4PAQAAAAAAAA8ARAEAAAAAAAAPAEWBAAAAAAAAAEQAREIDAAAAAAAARABFQQAAAAAAAABEQESBAAAAAAAAAESARMICAAAAAAAARMBFAQAAAAAAAABFAEVCAgAAAAAAAEWARcEAAAAAAAAARcBGAQAAAAAAAABGAEZCAwAAAAAAAEYAR0EAAAAAAAAARkBGgQAAAAAAAABGgEbCAgAAAAAAAEaAR8EAAAAAAAAARsBHAQAAAAAAAABHAEdCAgAAAAAAAEdAR4EAAAAAAAAASABIQQAAAAAAAAAAAAA</t>
        </r>
      </text>
    </comment>
    <comment ref="A121" authorId="0" shapeId="0" xr:uid="{2ED06A5D-C1B2-49BD-984B-B7F885E78846}">
      <text>
        <r>
          <rPr>
            <sz val="9"/>
            <color indexed="81"/>
            <rFont val="Segoe UI"/>
            <charset val="1"/>
          </rPr>
          <t>Insight iXlW00001C0000121R0279761703S00000240P02288LAocjBAQBF1NjaVRlZ2ljLmRhdGEuTW9sZWN1bGUBbQF/ARJTY2lUZWdpYy5Nb2xlY3VsZQAAAQFkAv5qAQAAAAIAAgEgGAAAAPz8APwAAgAAAAAAAPC/Ap7vp8ZLNwtAAh8Wak3zDg3AAAAAABgAAAD8/AD8AAIAAAAAAADwvwKDwMqhRTYGQAJBguLHmPsTwAAAAAAcAAAA/PwA/AACAAAAAAAA8L8Cu0kMAiuH9D8CtFn1udqKFMAAAAAAGAAAAPz8APwAAgAAAAAAAPC/AlR0JJf/kNo/AiRKe4MvTA/AAAAAABgAAAD8/AD8AAIAAAAAAADwvwJKe4MvTKbwPwL5MeauJWQEwAAAAAAcAAAA/PwA/AACAAAAAAAA8L8CS1mGONZFBEAC2qz6XG1FA8AAAAAAGAAAAPz8APwAAgAAAAAAAPC/AmaIY13cRglAAl8pyxDHuvC/AAAAACAAAAD8/AD8AAIAAAAAAADwvwIGEhQ/xpwSQAJDPujZrPrsvwAAAAAYAAAA/PwA/AACAAAAAAAA8L8CE/JBz2ZVAkACUkmdgCbCxj8AAAAAGAAAAPz8APwAAgAAAAAAAPC/Agg9m1WfKwZAAqCJsOHplfk/AAAAABwAAAD8/AD8AAIAAAAAAADwvwLW52or9pcQQAKx4emVsowBQAAAAAAYAAAA/PwA/AACAAAAAAAA8L8CfT81XrpJEUACZF3cRgN4DUAAAAAAGAAAAPz8APwAAgAAAAAAAPC/AqabxCCw8ghAAhueXinLUBJAAAAAABgAAAD8/AD8AAIAAAAAAADwvwIGEhQ/xtz7PwJWn6ut2N8PQAAAAAAYAAAA/PwA/AACAAAAAAAA8L8CaLPqc7UV+T8CoyO5/If0A0AAAAAAHAAAAPz8APwAAgAAAAAAAPC/AnyDL0ymCtY/AqAaL90kBvo/AAAAABgAAAD8/AD8AAIAAAAAAADwvwKX/5B++zrxvwJF2PD0StkAQAAAAAAYAAAA/PwA/AACAAAAAAAA8L8CoyO5/If09b8CW9O84xSdDEAAAAAAGAAAAPz8APwAAgAAAAAAAPC/AtQrZRniWAbAAigPC7WmORBAAAAAABgAAAD8/AD8AAIAAAAAAADwvwIJih9j7loPwAIvbqMBvIUIQAAAAAAYAAAA/PwA/AACAAAAAAAA8L8CBHgLJCj+DMACwTkjSnuD+T8AAAAAGAAAAPz8APwAAgAAAAAAAPC/AgHeAgmKnwHAAtejcD0K1/E/AAAAABgAAAD8/AD8AAIAAAAAAADwvwIuIR/0bFbpPwJd/kP67evIPwAAAAAYAAAA/PwA/AACAAAAAAAA8L8C95fdk4eFur8C3UYDeAsk8L8AAAAAGAAAAPz8APwAAgAAAAAAAPC/AubQItv5fvm/Apt3nKIjueq/AAAAABgAAAD8/AD8AAIAAAAAAADwvwJTBaOSOoEBwALy0k1iEFjhPwAAAAAYAAAA/PwA/AACAAAAAAAA8L8CB4GVQ4tsDcACLpCg+DHm5j8AAAAAGAAAAPz8APwAAgAAAAAAAPC/Au0vuycPSxLAAkT67evAOd+/AAAAABgAAAD8/AD8AAIAAAAAAADwvwL5wmSqYNQPwALXo3A9Ctf9vwAAAAAYAAAA/PwA/AACAAAAAAAA8L8CRUdy+Q/pA8ACOwFNhA1PAMAAAAAAJAAAAPz8APwAAgAAAAAAAPC/AspUwaikTv6/At6Th4VaUwvAAAAAACQAAAD8/AD8AAIAAAAAAADwvwLm0CLb+X4TwAJANV66SYwIwAAAAAABJA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AAAAA==</t>
        </r>
      </text>
    </comment>
    <comment ref="A122" authorId="0" shapeId="0" xr:uid="{291103D1-BF77-497E-B7D6-8BBC9C4810C9}">
      <text>
        <r>
          <rPr>
            <sz val="9"/>
            <color indexed="81"/>
            <rFont val="Segoe UI"/>
            <charset val="1"/>
          </rPr>
          <t>Insight iXlW00001C0000122R0279761703S00000242P02284LAocjBAQBF1NjaVRlZ2ljLmRhdGEuTW9sZWN1bGUBbQF/ARJTY2lUZWdpYy5Nb2xlY3VsZQAAAQFkAv5qAQAAAAIAAgEgGAAAAPz8APwAAgAAAAAAAPC/As1dS8gH/RDAAtBE2PD0SgLAAAAAABgAAAD8/AD8AAIAAAAAAADwvwIVHcnlP6QVwAKti9toAG/1vwAAAAAcAAAA/PwA/AACAAAAAAAA8L8Cq8/VVuyvFMAC2V92Tx4Wwj8AAAAAGAAAAPz8APwAAgAAAAAAAPC/Ailcj8L1KA7AAl5LyAc9m+U/AAAAABgAAAD8/AD8AAIAAAAAAADwvwLRs1n1udoEwALYEvJBz2bRvwAAAAAcAAAA/PwA/AACAAAAAAAA8L8CbHh6pSzDBsACXtxGA3gL/L8AAAAAGAAAAPz8APwAAgAAAAAAAPC/AiigibDh6fq/AintDb4wmQXAAAAAACAAAAD8/AD8AAIAAAAAAADwvwJfKcsQx7r+vwJ+jLlrCbkQwAAAAAAYAAAA/PwA/AACAAAAAAAA8L8COGdEaW/w0b8CT0ATYcNTAcAAAAAAGAAAAPz8APwAAgAAAAAAAPC/Ap7vp8ZLN+8/AoiFWtO84wfAAAAAABgAAAD8/AD8AAIAAAAAAADwvwIGo5I6AU3zPwIB3gIJit8RwAAAAAAYAAAA/PwA/AACAAAAAAAA8L8CgSbChqfXBEACmSoYldQJFMAAAAAAGAAAAPz8APwAAgAAAAAAAPC/AqvP1VbsLw5AArwFEhQ/RhDAAAAAABgAAAD8/AD8AAIAAAAAAADwvwJIUPwYc1cMQAL+1HjpJrEEwAAAAAAYAAAA/PwA/AACAAAAAAAA8L8CSnuDL0wmAUACBhIUP8ZcAMAAAAAAHAAAAPz8APwAAgAAAAAAAPC/AuGcEaW9wfk/AmU730+Nl+S/AAAAABgAAAD8/AD8AAIAAAAAAADwvwKpE9BE2HADQAK4QILix5jjPwAAAAAYAAAA/PwA/AACAAAAAAAA8L8CfIMvTKYK/D8CS+oENBE2/z8AAAAAGAAAAPz8APwAAgAAAAAAAPC/AvcGX5hMlQRAAvT91HjppglAAAAAABgAAAD8/AD8AAIAAAAAAADwvwLxY8xdS0gQQAIEeAskKP4IQAAAAAAYAAAA/PwA/AACAAAAAAAA8L8C54wo7Q3+EkACGCZTBaOS/D8AAAAAGAAAAPz8APwAAgAAAAAAAPC/ApbUCWgibA9AAhTQRNjw9OA/AAAAABgAAAD8/AD8AAIAAAAAAADwvwJHlPYGX5i8PwJDPujZrPrmvwAAAAAgAAAA/PwA/AACAAAAAAAA8L8Cf/s6cM6I6r8CkX77OnDO3D8AAAAAGAAAAPz8APwAAgAAAAAAAPC/AjzfT42XbtK/AqGJsOHplf0/AAAAABgAAAD8/AD8AAIAAAAAAADwvwLT3uALk6nzvwIzxLEubiMIQAAAAAAYAAAA/PwA/AACAAAAAAAA8L8CxLEubqMB5r8CfGEyVTCqEUAAAAAAGAAAAPz8APwAAgAAAAAAAPC/AgaBlUOLbOk/AkoMAiuHlhJAAAAAABgAAAD8/AD8AAIAAAAAAADwvwKHp1fKMsT7PwIxmSoYldQLQAAAAAAYAAAA/PwA/AACAAAAAAAA8L8CJnUCmggb8z8CM8SxLm6jAEAAAAAAGAAAAPz8APwAAgAAAAAAAPC/Ao6XbhKDQAzAAqs+V1uxPwFAAAAAACAAAAD8/AD8AAIAAAAAAADwvwLzH9JvX8cSwAKlvcEXJtMIQAAAAAABJAAEBAAAAAAAAAAUBAAAAAAAAAQIBAAAAAAAAAgMBAAAAAAAAAwQBAAAAAAAAAwBHg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R4BHwQAAAAAAAAAAAAA</t>
        </r>
      </text>
    </comment>
    <comment ref="A123" authorId="0" shapeId="0" xr:uid="{077CF4E2-B67F-4AA0-874C-D71E2A209027}">
      <text>
        <r>
          <rPr>
            <sz val="9"/>
            <color indexed="81"/>
            <rFont val="Segoe UI"/>
            <charset val="1"/>
          </rPr>
          <t>Insight iXlW00001C0000123R0279761703S00000244P02352LAocjBAQBF1NjaVRlZ2ljLmRhdGEuTW9sZWN1bGUBbQF/ARJTY2lUZWdpYy5Nb2xlY3VsZQAAAQFkAv5qAQAAAAIAAgEhGAAAAPz8APwAAgAAAAAAAPC/AuY/pN++DvM/AjnWxW00QBPAAAAAABgAAAD8/AD8AAIAAAAAAADwvwLb+X5qvHSTPwKRD3o2q/4WwAAAAAAcAAAA/PwA/AACAAAAAAAA8L8C7S+7Jw8L9r8CrmnecYrOFMAAAAAAGAAAAPz8APwAAgAAAAAAAPC/AsIXJlMFo/m/Aqw+V1uxvw3AAAAAABgAAAD8/AD8AAIAAAAAAADwvwIOT6+UZYjbvwL7y+7Jw0IGwAAAAAAcAAAA/PwA/AACAAAAAAAA8L8CIbByaJHt7j8CwhcmUwWjCsAAAAAAGAAAAPz8APwAAgAAAAAAAPC/AgjOGVHaGwFAAtnO91PjJQPAAAAAACAAAAD8/AD8AAIAAAAAAADwvwLyY8xdS0gMQALZ8PRKWYYHwAAAAAAYAAAA/PwA/AACAAAAAAAA8L8COrTIdr6f/j8CikFg5dAi7b8AAAAAGAAAAPz8APwAAgAAAAAAAPC/AtGzWfW52gdAAuj7qfHSTcI/AAAAABwAAAD8/AD8AAIAAAAAAADwvwIK+aBns+oRQAI+eVioNc2rPwAAAAAYAAAA/PwA/AACAAAAAAAA8L8CZF3cRgM4FUAC1JrmHafo9D8AAAAAGAAAAPz8APwAAgAAAAAAAPC/Ap2iI7n8hxJAApCg+DHmLgVAAAAAABgAAAD8/AD8AAIAAAAAAADwvwL3Bl+YTBUJQAIxCKwcWuQFQAAAAAAYAAAA/PwA/AACAAAAAAAA8L8CQz7o2ax6AkACyeU/pN++9z8AAAAAHAAAAPz8APwAAgAAAAAAAPC/Ak2mCkYldeo/AvT91HjpJvQ/AAAAABgAAAD8/AD8AAIAAAAAAADwvwJUBaOSOgHNvwKu2F92T54CQAAAAAAYAAAA/PwA/AACAAAAAAAA8L8COGdEaW/wxT8C5KWbxCAwDkAAAAAAGAAAAPz8APwAAgAAAAAAAPC/AtNNYhBYOey/AuhqK/aXXRNAAAAAABgAAAD8/AD8AAIAAAAAAADwvwJeukkMAqsCwAInMQisHNoRQAAAAAAYAAAA/PwA/AACAAAAAAAA8L8CJzEIrBzaBcAC4L4OnDMiCEAAAAAAGAAAAPz8APwAAgAAAAAAAPC/An6utmJ/2fq/AljKMsSxLv8/AAAAABgAAAD8/AD8AAIAAAAAAADwvwIcDeAtkKDiPwJL6gQ0ETbMvwAAAAAYAAAA/PwA/AACAAAAAAAA8L8CfT81XrpJ6L8CzBDHuriN7L8AAAAAGAAAAPz8APwAAgAAAAAAAPC/AixlGeJYFwDAAuM2GsBbILG/AAAAABgAAAD8/AD8AAIAAAAAAADwvwKlTkATYcP+vwIX2c73U+P2PwAAAAAYAAAA/PwA/AACAAAAAAAA8L8C2BLyQc9mCcACQDVeukkMAkAAAAAAGAAAAPz8APwAAgAAAAAAAPC/Av+ye/KwEBLAAmN/2T15WPk/AAAAABgAAAD8/AD8AAIAAAAAAADwvwLQZtXnamsSwALgLZCg+DG2PwAAAAAYAAAA/PwA/AACAAAAAAAA8L8CUrgehevRCsACFR3J5T+k578AAAAAGAAAAPz8APwAAgAAAAAAAPC/AvMf0m9fhwvAAk+vlGWI4wHAAAAAACQAAAD8/AD8AAIAAAAAAADwvwJjEFg5tMgXwAJ90LNZ9bnivwAAAAAgAAAA/PwA/AACAAAAAAAA8L8ChXzQs1k1G0ACIR/0bFZ98z8AAAAAASUABAQAAAAAAAAAFAQAAAAAAAAECAQAAAAAAAAIDAQAAAAAAAAMEAQAAAAAAAAQFAQAAAAAAAAUGAQAAAAAAAAYHAgAAAAAAAAYIAQAAAAAAAAgJAQAAAAAAAAgARYIDAAAAAAAJCgEAAAAAAAAJDgIDAAAAAAAKCwEAAAAAAAALDAEAAAAAAAALAEgCAAAAAAAADA0CAgAAAAAADQ4BAAAAAAAADg8BAAAAAAAADwBEAQAAAAAAAA8ARYEAAAAAAAAARABEQgMAAAAAAABEAEVBAAAAAAAAAERARIEAAAAAAAAARIBEwgIAAAAAAABEwEUBAAAAAAAAAEUARUICAAAAAAAARYBFwQAAAAAAAABFwEYBAAAAAAAAAEYARkIDAAAAAAAARgBHQQAAAAAAAABGQEaBAAAAAAAAAEaARsICAAAAAAAARsBHAQAAAAAAAABHAEdCAgAAAAAAAEcAR8EAAAAAAAAAR0BHgQAAAAAAAAAAAAA</t>
        </r>
      </text>
    </comment>
    <comment ref="A124" authorId="0" shapeId="0" xr:uid="{CC642BBC-2004-4D0A-8E98-9189EDA1906D}">
      <text>
        <r>
          <rPr>
            <sz val="9"/>
            <color indexed="81"/>
            <rFont val="Segoe UI"/>
            <charset val="1"/>
          </rPr>
          <t>Insight iXlW00001C0000124R0279761703S00000246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GAAAAPz8APwAAgAAAAAAAPC/AmgibHh6pcy/AuxRuB6F6xRAAAAAABw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g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25" authorId="0" shapeId="0" xr:uid="{6A75215D-E0A9-420A-ADDF-9C4AC0638EFF}">
      <text>
        <r>
          <rPr>
            <sz val="9"/>
            <color indexed="81"/>
            <rFont val="Segoe UI"/>
            <charset val="1"/>
          </rPr>
          <t>Insight iXlW00001C0000125R0279761703S00000248P02488LAocjBAQBF1NjaVRlZ2ljLmRhdGEuTW9sZWN1bGUBbQF/ARJTY2lUZWdpYy5Nb2xlY3VsZQAAAQFkAv5qAQAAAAIAAgEjGAAAAPz8APwAAgAAAAAAAPC/Ai6QoPgx5gZAAmTuWkI+6A7AAAAAABgAAAD8/AD8AAIAAAAAAADwvwJ/+zpwzggCQAIAkX77OvAUwAAAAAAcAAAA/PwA/AACAAAAAAAA8L8CKxiV1Alo6D8Cbef7qfGSFcAAAAAAGAAAAPz8APwAAgAAAAAAAPC/Ai6QoPgx5r6/AgwkKH6MuRDAAAAAABgAAAD8/AD8AAIAAAAAAADwvwJvgQTFjzHfPwJ7FK5H4XoGwAAAAAAcAAAA/PwA/AACAAAAAAAA8L8CRIts5/up/z8CoWez6nM1BcAAAAAAGAAAAPz8APwAAgAAAAAAAPC/AlHaG3xhsgRAAgpoImx4evS/AAAAACAAAAD8/AD8AAIAAAAAAADwvwLjx5i7llAQQAJWDi2yne/xvwAAAAAYAAAA/PwA/AACAAAAAAAA8L8Cih9j7lpC+z8Cam/whclUsb8AAAAAGAAAAPz8APwAAgAAAAAAAPC/AouO5PIfUgFAAv9D+u3rwPU/AAAAABgAAAD8/AD8AAIAAAAAAADwvwJmiGNd3EYMQAIHX5hMFYz/PwAAAAAYAAAA/PwA/AACAAAAAAAA8L8CwTkjSnuDDUAC2j15WKi1C0AAAAAAGAAAAPz8APwAAgAAAAAAAPC/AnrHKTqSywNAAlafq63YXxFAAAAAABwAAAD8/AD8AAIAAAAAAADwvwKuR+F6FK7xPwInMQisHNoNQAAAAAAYAAAA/PwA/AACAAAAAAAA8L8C78nDQq1p7j8C0SLb+X7qAUAAAAAAHAAAAPz8APwAAgAAAAAAAPC/AjSitDf4wtC/Aoqw4emVsvU/AAAAABgAAAD8/AD8AAIAAAAAAADwvwKCc0aU9gb7vwKGWtO84xT9PwAAAAAYAAAA/PwA/AACAAAAAAAA8L8Cs3vysFBrBsACPE7RkVz+6T8AAAAAGAAAAPz8APwAAgAAAAAAAPC/ApeQD3o26xDAAqmkTkATYfQ/AAAAABgAAAD8/AD8AAIAAAAAAADwvwI/V1uxvywSwAIGgZVDi+wFQAAAAAAYAAAA/PwA/AACAAAAAAAA8L8CU5YhjnVxC8ACutqK/WX3DUAAAAAAGAAAAPz8APwAAgAAAAAAAPC/Atjw9EpZBgDAArwFEhQ/RgpAAAAAABgAAAD8/AD8AAIAAAAAAADwvwJR/Bhz1xLKPwLKw0Ktad6xvwAAAAAgAAAA/PwA/AACAAAAAAAA8L8CFR3J5T+k5b8CyxDHuriN9L8AAAAAGAAAAPz8APwAAgAAAAAAAPC/AptVn6utWAHAAhWuR+F6FPK/AAAAABgAAAD8/AD8AAIAAAAAAADwvwJtVn2utmIIwAJSSZ2AJsICwAAAAAAYAAAA/PwA/AACAAAAAAAA8L8CYjJVMCopEsACvsEXJlOFAcAAAAAAGAAAAPz8APwAAgAAAAAAAPC/AiS5/If0mxTAAmx4eqUsQ+q/AAAAABgAAAD8/AD8AAIAAAAAAADwvwKfzarP1RYRwAJiodY07zjZPwAAAAAYAAAA/PwA/AACAAAAAAAA8L8C54wo7Q0+BsACDy2yne+nzj8AAAAAJAAAAPz8APwAAgAAAAAAAPC/AmFUUiegiRPAAp7vp8ZLN/w/AAAAABgAAAD8/AD8AAIAAAAAAADwvwLpSC7/IX0DwAL1bFZ9rrYNwAAAAAAYAAAA/PwA/AACAAAAAAAA8L8CV32utmL/EkAC87BQa5p38T8AAAAAGAAAAPz8APwAAgAAAAAAAPC/AigPC7WmeRhAAvvL7snDQvs/AAAAABgAAAD8/AD8AAIAAAAAAADwvwJMyAc9m1UdQAKwlGWIY13qPwAAAAABJwAEBAAAAAAAAAAUBAAAAAAAAAQIBAAAAAAAAAgMBAAAAAAAAAwQBAAAAAAAABAUBAAAAAAAABQYBAAAAAAAABgcCAAAAAAAABggBAAAAAAAACAkBAAAAAAAACABFggMAAAAAAAkKAgMAAAAAAAkOAQAAAAAAAAoLAQAAAAAAAAoASA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AEeBAAAAAAAAAEgASEEAAAAAAAAASEBIgQAAAAAAAAAAAAA</t>
        </r>
      </text>
    </comment>
    <comment ref="A126" authorId="0" shapeId="0" xr:uid="{C059392B-3503-4591-8403-DB43910A2E22}">
      <text>
        <r>
          <rPr>
            <sz val="9"/>
            <color indexed="81"/>
            <rFont val="Segoe UI"/>
            <charset val="1"/>
          </rPr>
          <t>Insight iXlW00001C0000126R0279761703S00000250P02488LAocjBAQBF1NjaVRlZ2ljLmRhdGEuTW9sZWN1bGUBbQF/ARJTY2lUZWdpYy5Nb2xlY3VsZQAAAQFkAv5qAQAAAAIAAgEjGAAAAPz8APwAAgAAAAAAAPC/As47TtGR3AnAAobrUbgeBQ3AAAAAABgAAAD8/AD8AAIAAAAAAADwvwI1XrpJDIISwAJHlPYGX5gIwAAAAAAcAAAA/PwA/AACAAAAAAAA8L8C/mX35GFhE8ACNe84RUdy+b8AAAAAGAAAAPz8APwAAgAAAAAAAPC/AicxCKwcWg3AAtJvXwfOGeW/AAAAABgAAAD8/AD8AAIAAAAAAADwvwKKsOHplTICwAJnZmZmZmbzvwAAAAAcAAAA/PwA/AACAAAAAAAA8L8CwcqhRbZzAMACGCZTBaOSBcAAAAAAGAAAAPz8APwAAgAAAAAAAPC/Ao0o7Q2+MOW/Ald9rrZi/wnAAAAAACAAAAD8/AD8AAIAAAAAAADwvwKV1AloImzcvwIeOGdEae8SwAAAAAAYAAAA/PwA/AACAAAAAAAA8L8CxEKtad5x4D8C6bevA+eMAsAAAAAAGAAAAPz8APwAAgAAAAAAAPC/AkzIBz2bVf8/ApvmHafoyAXAAAAAABwAAAD8/AD8AAIAAAAAAADwvwLm0CLb+f4EQAIUP8bctUQQwAAAAAAYAAAA/PwA/AACAAAAAAAA8L8CB/AWSFB8EEACLpCg+DGmEMAAAAAAGAAAAPz8APwAAgAAAAAAAPC/AlfsL7snzxNAAspUwaikTgfAAAAAABgAAAD8/AD8AAIAAAAAAADwvwITYcPTKyURQAJ5eqUsQxz5vwAAAAAYAAAA/PwA/AACAAAAAAAA8L8Cx9y1hHxQBkACg+LHmLuW978AAAAAHAAAAPz8APwAAgAAAAAAAPC/ArIubqMBvP0/AqQBvAUSFNO/AAAAABgAAAD8/AD8AAIAAAAAAADwvwILRiV1AhoCQAKBJsKGp1fyPwAAAAAYAAAA/PwA/AACAAAAAAAA8L8CldQJaCJs8z8CHeviNhrAAUAAAAAAGAAAAPz8APwAAgAAAAAAAPC/Avkx5q4l5Pk/ApF++zpwTg1AAAAAABgAAAD8/AD8AAIAAAAAAADwvwKneccpOpIIQAL5MeauJSQQQAAAAAAYAAAA/PwA/AACAAAAAAAA8L8Cl/+Qfvt6EEACFoxK6gS0B0AAAAAAGAAAAPz8APwAAgAAAAAAAPC/An3Qs1n1uQ1AArOd76fGS/g/AAAAABgAAAD8/AD8AAIAAAAAAADwvwLlYaHWNO/cPwI+CtejcD3qvwAAAAAgAAAA/PwA/AACAAAAAAAA8L8CdSSX/5B+6b8CNBE2PL1Shj8AAAAAGAAAAPz8APwAAgAAAAAAAPC/Aoj029eBc+a/AuM2GsBbIPg/AAAAABgAAAD8/AD8AAIAAAAAAADwvwKuad5xio7kPwL5MeauJWQBQAAAAAAYAAAA/PwA/AACAAAAAAAA8L8CfPKwUGua5z8CWRe30QBeDUAAAAAAGAAAAPz8APwAAgAAAAAAAPC/AuviNhrAW+C/Av2H9NvXARJAAAAAABgAAAD8/AD8AAIAAAAAAADwvwKRoPgx5q79vwJz+Q/pt68OQAAAAAAYAAAA/PwA/AACAAAAAAAA8L8C+ORhodY0/78CEhQ/xty1AkAAAAAAGAAAAPz8APwAAgAAAAAAAPC/Aj9XW7G/7ArAAhFYObTIdv0/AAAAABgAAAD8/AD8AAIAAAAAAADwvwLi6ZWyDHEAQAJIcvkP6bf6PwAAAAAYAAAA/PwA/AACAAAAAAAA8L8CuECC4scYD8AC3gIJih9j6j8AAAAAGAAAAPz8APwAAgAAAAAAAPC/AqtgVFInIBXAAu0vuycPC/Y/AAAAABgAAAD8/AD8AAIAAAAAAADwvwK1N/jCZKoGwAITg8DKoUX+PwAAAAABJwAEBAAAAAAAAAAUBAAAAAAAAAQIBAAAAAAAAAgMBAAAAAAAAAwQBAAAAAAAAAwBI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kBHwQAAAAAAAABGgEbCAgAAAAAAAEbARwEAAAAAAAAARwBHQgIAAAAAAABHQEeBAAAAAAAAAEgASEEAAAAAAAAASABIgQAAAAAAAAAAAAA</t>
        </r>
      </text>
    </comment>
    <comment ref="A127" authorId="0" shapeId="0" xr:uid="{2385E202-D194-4DDB-A02C-6680349648FA}">
      <text>
        <r>
          <rPr>
            <sz val="9"/>
            <color indexed="81"/>
            <rFont val="Segoe UI"/>
            <charset val="1"/>
          </rPr>
          <t>Insight iXlW00001C0000127R0279761703S00000252P02220LAocjBAQBF1NjaVRlZ2ljLmRhdGEuTW9sZWN1bGUBbQF/ARJTY2lUZWdpYy5Nb2xlY3VsZQAAAQFkAv5qAQAAAAIAAgEfGAAAAPz8APwAAgAAAAAAAPC/ApeQD3o2axPAAgR4CyQofuo/AAAAABgAAAD8/AD8AAIAAAAAAADwvwJNFYxK6gQVwALkpZvEIDACQAAAAAAcAAAA/PwA/AACAAAAAAAA8L8CAW+BBMXPEMACIGPuWkK+CkAAAAAAGAAAAPz8APwAAgAAAAAAAPC/Av2H9NvXAQbAAgmsHFpkuwdAAAAAABgAAAD8/AD8AAIAAAAAAADwvwKRfvs6cM4CwAJMyAc9m1X4PwAAAAAcAAAA/PwA/AACAAAAAAAA8L8CKssQx7o4C8ACTDeJQWDl3D8AAAAAGAAAAPz8APwAAgAAAAAAAPC/Ar7BFyZTBQjAAuWDns2qz++/AAAAACAAAAD8/AD8AAIAAAAAAADwvwIrhxbZzjcQwAL9h/Tb14EAwAAAAAAYAAAA/PwA/AACAAAAAAAA8L8Cc9cS8kHP+L8CIbByaJHt9b8AAAAAGAAAAPz8APwAAgAAAAAAAPC/AhHHuriNBvC/AjY8vVKWIQbAAAAAABgAAAD8/AD8AAIAAAAAAADwvwLJ5T+k3776vwKti9toAG8QwAAAAAAYAAAA/PwA/AACAAAAAAAA8L8C3GgAb4EE678CHHxhMlVwFcAAAAAAGAAAAPz8APwAAgAAAAAAAPC/AmrecYqO5OQ/At6Th4VaExXAAAAAABgAAAD8/AD8AAIAAAAAAADwvwLtDb4wmSr1PwJgdk8eFmoPwAAAAAAYAAAA/PwA/AACAAAAAAAA8L8CDCQofoy53z8CumsJ+aBnBcAAAAAAHAAAAPz8APwAAgAAAAAAAPC/AoGVQ4ts5+s/Amsr9pfdk/O/AAAAABgAAAD8/AD8AAIAAAAAAADwvwKGyVTBqCQCQAIv3SQGgZXlvwAAAAAYAAAA/PwA/AACAAAAAAAA8L8CzqrP1VbsA0ACNYC3QILi6T8AAAAAGAAAAPz8APwAAgAAAAAAAPC/AixlGeJYFw9AAn3Qs1n1ufU/AAAAABgAAAD8/AD8AAIAAAAAAADwvwIFNBE2PD0UQAK1yHa+nxrbPwAAAAAYAAAA/PwA/AACAAAAAAAA8L8CYcPTK2VZE0AChXzQs1n18L8AAAAAGAAAAPz8APwAAgAAAAAAAPC/Ap2iI7n8hwtAAueMKO0Nvvm/AAAAABgAAAD8/AD8AAIAAAAAAADwvwLjNhrAWyDZvwIf9GxWfa7avwAAAAAcAAAA/PwA/AACAAAAAAAA8L8Cx7q4jQbw3r8Cm+Ydp+hI8T8AAAAAGAAAAPz8APwAAgAAAAAAAPC/AjbNO07Rkeg/AveX3ZOHhf4/AAAAABgAAAD8/AD8AAIAAAAAAADwvwKppE5AE+EAQAI+eVioNc3zPwAAAAAYAAAA/PwA/AACAAAAAAAA8L8CiIVa07zjCkACFD/G3LWEAEAAAAAAGAAAAPz8APwAAgAAAAAAAPC/Agu1pnnHKQpAAubQItv5fgxAAAAAABgAAAD8/AD8AAIAAAAAAADwvwJgB84ZUdr+PwI9m1Wfq+0QQAAAAAAYAAAA/PwA/AACAAAAAAAA8L8CJuSDns2q5T8CzV1LyAc9C0AAAAAAGAAAAPz8APwAAgAAAAAAAPC/AmHl0CLb+fm/AqkT0ETYcA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XAR4EAAAAAAAAARgBGQgMAAAAAAABGAEdBAAAAAAAAAEZARoEAAAAAAAAARoBGwgIAAAAAAABGwEcBAAAAAAAAAEcAR0ICAAAAAAAAAAAAA==</t>
        </r>
      </text>
    </comment>
    <comment ref="A128" authorId="0" shapeId="0" xr:uid="{4702EFB4-3D28-4B0F-8AEE-234BA09D04AA}">
      <text>
        <r>
          <rPr>
            <sz val="9"/>
            <color indexed="81"/>
            <rFont val="Segoe UI"/>
            <charset val="1"/>
          </rPr>
          <t>Insight iXlW00001C0000128R0279761703S00000254P02556LAocjBAQBF1NjaVRlZ2ljLmRhdGEuTW9sZWN1bGUBbQF/ARJTY2lUZWdpYy5Nb2xlY3VsZQAAAQFkAv5qAQAAAAIAAgEkGAAAAPz8APwAAgAAAAAAAPC/Apm7lpAPevi/AjbNO07R0RLAAAAAABgAAAD8/AD8AAIAAAAAAADwvwLQZtXnaisIwAKgq63YX3YTwAAAAAAcAAAA/PwA/AACAAAAAAAA8L8Cc2iR7Xw/D8AC6wQ0ETY8DcAAAAAAGAAAAPz8APwAAgAAAAAAAPC/Akw3iUFgZQrAAsP1KFyPQgLAAAAAABgAAAD8/AD8AAIAAAAAAADwvwIDCYofY+78vwLvOEVHcvkAwAAAAAAcAAAA/PwA/AACAAAAAAAA8L8ClrIMcayL7b8CRIts5/upCsAAAAAAGAAAAPz8APwAAgAAAAAAAPC/AnZxGw3gLeI/Ajj4wmSqYAnAAAAAACAAAAD8/AD8AAIAAAAAAADwvwICvAUSFD/3PwJGJXUCmogRwAAAAAAYAAAA/PwA/AACAAAAAAAA8L8CmG4Sg8DK8j8CINJvXwfO/L8AAAAAGAAAAPz8APwAAgAAAAAAAPC/AhwN4C2QIAVAAv9D+u3rwPe/AAAAABgAAAD8/AD8AAIAAAAAAADwvwLRs1n1udoOQAKBlUOLbOcCwAAAAAAcAAAA/PwA/AACAAAAAAAA8L8C9P3UeOnmFEAC6Ugu/yH9+78AAAAAGAAAAPz8APwAAgAAAAAAAPC/AqVOQBNhgxVAAmpN845TdNC/AAAAABgAAAD8/AD8AAIAAAAAAADwvwJnZmZmZqYQQAJTJ6CJsOHjPwAAAAAYAAAA/PwA/AACAAAAAAAA8L8CtoR80LNZBkACxY8xdy0hfz8AAAAAHAAAAPz8APwAAgAAAAAAAPC/Ah3r4jYawPY/ArsnDwu1puM/AAAAABgAAAD8/AD8AAIAAAAAAADwvwKKsOHplbLxPwK/nxov3aQAQAAAAAAYAAAA/PwA/AACAAAAAAAA8L8CyeU/pN++AUACUdobfGGyCEAAAAAAGAAAAPz8APwAAgAAAAAAAPC/AnE9CtejcP4/AhFYObTINhJAAAAAABgAAAD8/AD8AAIAAAAAAADwvwIaUdobfGHePwKvJeSDng0UQAAAAAAYAAAA/PwA/AACAAAAAAAA8L8ChQ1Pr5Rl5L8CZohjXdwGEEAAAAAAGAAAAPz8APwAAgAAAAAAAPC/AoPix5i7ltS/Avw6cM6IUgRAAAAAABgAAAD8/AD8AAIAAAAAAADwvwJQHhZqTfPaPwIldQKaCBvgvwAAAAAYAAAA/PwA/AACAAAAAAAA8L8C+u3rwDkj8b8Cdy0hH/Rs1r8AAAAAGAAAAPz8APwAAgAAAAAAAPC/AhTQRNjw9Pq/AtBE2PD0SvA/AAAAABgAAAD8/AD8AAIAAAAAAADwvwI+eVioNc3pvwIdyeU/pN8BQAAAAAAYAAAA/PwA/AACAAAAAAAA8L8CuR6F61G49r8CNBE2PL3SDEAAAAAAGAAAAPz8APwAAgAAAAAAAPC/AiRKe4MvTAfAApayDHGsCw5AAAAAABgAAAD8/AD8AAIAAAAAAADwvwLek4eFWlMOwAIa4lgXt1EEQAAAAAAYAAAA/PwA/AACAAAAAAAA8L8C0SLb+X5qCcACBTQRNjy98j8AAAAAGAAAAPz8APwAAgAAAAAAAPC/Aka28/3UOBDAAqYsQxzr4qa/AAAAACQAAAD8/AD8AAIAAAAAAADwvwJTJ6CJsCEVwAJ8gy9MpooFQAAAAAAgAAAA/PwA/AACAAAAAAAA8L8CsHJoke38GkAC/DpwzojS1j8AAAAAGAAAAPz8APwAAgAAAAAAAPC/AgtGJXUC2h9AAmwJ+aBns+C/AAAAABgAAAD8/AD8AAIAAAAAAADwvwKUh4Va07wQwALdRgN4CyTxvwAAAAAgAAAA/PwA/AACAAAAAAAA8L8CFoxK6gS0FsACg8DKoUW2878AAAAAASgABAQAAAAAAAAAFAQAAAAAAAAECAQAAAAAAAAIDAQAAAAAAAAMEAQAAAAAAAAMASIEAAAAAAAAEBQEAAAAAAAAFBgEAAAAAAAAGBwIAAAAAAAAGCAEAAAAAAAAICQEAAAAAAAAIAEWCAwAAAAAACQoCAwAAAAAACQ4BAAAAAAAACgsBAAAAAAAACwwCAgAAAAAADA0BAAAAAAAADABIAQAAAAAAAA0OAgIAAAAAAA4PAQAAAAAAAA8ARAEAAAAAAAAPAEWBAAAAAAAAAEQAREEAAAAAAAAARABFQQAAAAAAAABEQESBAAAAAAAAAESARMEAAAAAAAAARMBFAQAAAAAAAABFAEVBAAAAAAAAAEWARcEAAAAAAAAARcBGAQAAAAAAAABGAEZCAwAAAAAAAEYAR0EAAAAAAAAARkBGgQAAAAAAAABGgEbCAgAAAAAAAEbARwEAAAAAAAAARwBHQgIAAAAAAABHAEfBAAAAAAAAAEdAR4EAAAAAAAAASABIQQAAAAAAAABIgEjBAAAAAAAAAAAAAA=</t>
        </r>
      </text>
    </comment>
    <comment ref="A129" authorId="0" shapeId="0" xr:uid="{0D1E8C7D-327A-4B9E-B117-6F0AF10989AD}">
      <text>
        <r>
          <rPr>
            <sz val="9"/>
            <color indexed="81"/>
            <rFont val="Segoe UI"/>
            <charset val="1"/>
          </rPr>
          <t>Insight iXlW00001C0000129R0279761703S00000256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cAAAA/PwA/AACAAAAAAAA8L8CQs9m1edq9D8CJzEIrBzaFEAAAAAAG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Y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30" authorId="0" shapeId="0" xr:uid="{1C3C604E-032C-437E-A3EC-6B0DC9BCA8D3}">
      <text>
        <r>
          <rPr>
            <sz val="9"/>
            <color indexed="81"/>
            <rFont val="Segoe UI"/>
            <charset val="1"/>
          </rPr>
          <t>Insight iXlW00001C0000130R0279761703S00000258P02220LAocjBAQBF1NjaVRlZ2ljLmRhdGEuTW9sZWN1bGUBbQF/ARJTY2lUZWdpYy5Nb2xlY3VsZQAAAQFkAv5qAQAAAAIAAgEfGAAAAPz8APwAAgAAAAAAAPC/ApqZmZmZWRPAAmHD0ytlGcq/AAAAABwAAAD8/AD8AAIAAAAAAADwvwI0MzMzM7MKwALwp8ZLN4nJvwAAAAAYAAAA/PwA/AACAAAAAAAA8L8CyeU/pN8+A8ACJ1MFo5I67z8AAAAAGAAAAPz8APwAAgAAAAAAAPC/AlAeFmpN8wXAAo9TdCSXfwNAAAAAABgAAAD8/AD8AAIAAAAAAADwvwIzxLEubmMQwALqlbIMcawIQAAAAAAcAAAA/PwA/AACAAAAAAAA8L8CKH6MuWvJFcACHjhnRGlvA0AAAAAAGAAAAPz8APwAAgAAAAAAAPC/Au2ePCzUGhfAAplMFYxK6u4/AAAAABgAAAD8/AD8AAIAAAAAAADwvwKgq63YX3YFwALUvOMUHcn4vwAAAAAgAAAA/PwA/AACAAAAAAAA8L8CN6s+V1sxDMACT0ATYcNTBsAAAAAAGAAAAPz8APwAAgAAAAAAAPC/AgfwFkhQ/PK/Am40gLdAgvq/AAAAABgAAAD8/AD8AAIAAAAAAADwvwKvtmJ/2T3ZvwKMbOf7qXEHwAAAAAAYAAAA/PwA/AACAAAAAAAA8L8C/Rhz1xLy6b8CP8bctYR8EcAAAAAAGAAAAPz8APwAAgAAAAAAAPC/ApX2Bl+YTM0/AsiYu5aQzxXAAAAAABgAAAD8/AD8AAIAAAAAAADwvwJn1edqK/b6PwKQMXctIV8UwAAAAAAYAAAA/PwA/AACAAAAAAAA8L8CVTAqqRPQAEACLUMc6+I2DcAAAAAAGAAAAPz8APwAAgAAAAAAAPC/AulILv8h/fA/AhueXinLkATAAAAAABwAAAD8/AD8AAIAAAAAAADwvwKDwMqhRbbyPwL+1HjpJjHxvwAAAAAYAAAA/PwA/AACAAAAAAAA8L8Cz4jS3uCLA0ACjErqBDQR0r8AAAAAGAAAAPz8APwAAgAAAAAAAPC/AvT91HjpJgNAAtUJaCJsePM/AAAAABgAAAD8/AD8AAIAAAAAAADwvwJIUPwYc1cNQAIYJlMFoxIAQAAAAAAYAAAA/PwA/AACAAAAAAAA8L8CvJaQD3r2E0AChJ7Nqs/V9D8AAAAAGAAAAPz8APwAAgAAAAAAAPC/Ag1xrIvbKBRAAp7vp8ZLN8m/AAAAABgAAAD8/AD8AAIAAAAAAADwvwLFjzF3LSEOQAKegCbChqfvvwAAAAAYAAAA/PwA/AACAAAAAAAA8L8Csr/snjwszL8CjgbwFkhQ4L8AAAAAIAAAAPz8APwAAgAAAAAAAPC/Aq5p3nGKjuK/ApvmHafoSO4/AAAAABgAAAD8/AD8AAIAAAAAAADwvwKZKhiV1AngPwIQC7Wmecf/PwAAAAAYAAAA/PwA/AACAAAAAAAA8L8C2V92Tx4Wwj8C0gDeAgmKC0AAAAAAGAAAAPz8APwAAgAAAAAAAPC/ApDC9Shcj/M/Aj2bVZ+r7RFAAAAAABgAAAD8/AD8AAIAAAAAAADwvwICK4cW2U4FQAKJY13cRkMQQAAAAAAYAAAA/PwA/AACAAAAAAAA8L8Cq8/VVuwvCEACx0s3iUHgBEAAAAAAGAAAAPz8APwAAgAAAAAAAPC/AjNVMCqpE/8/Aj0s1JrmHfk/AAAAAAEjAAQEAAAAAAAAABgEAAAAAAAABAgEAAAAAAAABBwEAAAAAAAACAwEAAAAAAAADBAEAAAAAAAAEBQEAAAAAAAAFBgEAAAAAAAAHCAIAAAAAAAAHCQEAAAAAAAAJCgEAAAAAAAAJAEXCAwAAAAAACgsCAwAAAAAACg8BAAAAAAAACwwBAAAAAAAADA0CAgAAAAAADQ4BAAAAAAAADg8CAgAAAAAADwBEAQAAAAAAAABEAERBAAAAAAAAAEQARcEAAAAAAAAAREBEggMAAAAAAABEQEWBAAAAAAAAAESARMEAAAAAAAAARMBFAgIAAAAAAABFAEVBAAAAAAAAAEVARYICAAAAAAAARcBGAQAAAAAAAABGAEZBAAAAAAAAAEZARoIDAAAAAAAARkBHgQAAAAAAAABGgEbBAAAAAAAAAEbARwICAAAAAAAARwBHQQAAAAAAAABHQEeCAgAAAAAAAAAAAA=</t>
        </r>
      </text>
    </comment>
    <comment ref="A131" authorId="0" shapeId="0" xr:uid="{57CBC47B-F2C5-4221-B5B8-6C07B14D6F57}">
      <text>
        <r>
          <rPr>
            <sz val="9"/>
            <color indexed="81"/>
            <rFont val="Segoe UI"/>
            <charset val="1"/>
          </rPr>
          <t>Insight iXlW00001C0000131R0279761703S00000260P02084LAocjBAQBF1NjaVRlZ2ljLmRhdGEuTW9sZWN1bGUBbQF/ARJTY2lUZWdpYy5Nb2xlY3VsZQAAAQFkAv5qAQAAAAIAAgEdGAAAAPz8APwAAgAAAAAAAPC/AiFB8WPM3RFAAj/G3LWEfP2/AAAAABgAAAD8/AD8AAIAAAAAAADwvwL8qfHSTaIXQALKw0Ktad72vwAAAAAcAAAA/PwA/AACAAAAAAAA8L8CaLPqc7UVGUACwOyePCzUmj8AAAAAGAAAAPz8APwAAgAAAAAAAPC/AhQ/xty1xBRAAkoMAiuHFvE/AAAAABgAAAD8/AD8AAIAAAAAAADwvwJxrIvbaAAOQAKpE9BE2PDkPwAAAAAcAAAA/PwA/AACAAAAAAAA8L8CmpmZmZkZC0ACbxKDwMqh6b8AAAAAGAAAAPz8APwAAgAAAAAAAPC/AjY8vVKWIf8/Aq2L22gAb/O/AAAAACAAAAD8/AD8AAIAAAAAAADwvwIWak3zjlP5PwKVZYhjXVwFwAAAAAAYAAAA/PwA/AACAAAAAAAA8L8C7nw/NV666z8CJnUCmggbxr8AAAAAGAAAAPz8APwAAgAAAAAAAPC/AhaMSuoENPE/AuJYF7fRAPU/AAAAABgAAAD8/AD8AAIAAAAAAADwvwJ4CyQofowCQAK8lpAPejYBQAAAAAAYAAAA/PwA/AACAAAAAAAA8L8CS+oENBG2AUACkaD4MeYuDUAAAAAAGAAAAPz8APwAAgAAAAAAAPC/AvtcbcX+sus/AirLEMe6OBFAAAAAABgAAAD8/AD8AAIAAAAAAADwvwI6I0p7gy/YvwLQ1VbsL7sLQAAAAAAYAAAA/PwA/AACAAAAAAAA8L8CCmgibHh60b8C95fdk4eF/z8AAAAAHAAAAPz8APwAAgAAAAAAAPC/AgvXo3A9CvW/AlCNl24Sg+w/AAAAABgAAAD8/AD8AAIAAAAAAADwvwJJv30dOGcGwALW52or9pfxPwAAAAAYAAAA/PwA/AACAAAAAAAA8L8CLpCg+DHmCsACldQJaCLsA0AAAAAAGAAAAPz8APwAAgAAAAAAAPC/AhUdyeU/ZBPAAmU730+NlwVAAAAAABgAAAD8/AD8AAIAAAAAAADwvwJos+pztRUXwAKi1jTvOEX4PwAAAAAYAAAA/PwA/AACAAAAAAAA8L8C9UpZhjjWFMAC3UYDeAskwD8AAAAAGAAAAPz8APwAAgAAAAAAAPC/AifChqdXyg3AAh+F61G4HrW/AAAAABgAAAD8/AD8AAIAAAAAAADwvwLSAN4CCYrjvwKUh4Va07zbvwAAAAAcAAAA/PwA/AACAAAAAAAA8L8C7uvAOSNK9L8CjNtoAG+B/L8AAAAAGAAAAPz8APwAAgAAAAAAAPC/Asx/SL99HQbAAljKMsSxLv6/AAAAABgAAAD8/AD8AAIAAAAAAADwvwJWn6ut2F8LwAIAIv32deAJwAAAAAAYAAAA/PwA/AACAAAAAAAA8L8CC7WmecepBMAC097gC5PpEcAAAAAAGAAAAPz8APwAAgAAAAAAAPC/Am1Wfa62YvG/AiBj7lpCfhHAAAAAABgAAAD8/AD8AAIAAAAAAADwvwJkXdxGA3jbvwJsCfmgZzMIwAAAAAABIQAEBAAAAAAAAAAUBAAAAAAAAAQIBAAAAAAAAAgMBAAAAAAAAAwQ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FwEcBAAAAAAAAAEYARkEAAAAAAAAARkBGgQAAAAAAAABGgEbBAAAAAAAAAEbARwEAAAAAAAAAAAAAA==</t>
        </r>
      </text>
    </comment>
    <comment ref="A132" authorId="0" shapeId="0" xr:uid="{C3CB3262-AA61-486C-84B3-454C272DA981}">
      <text>
        <r>
          <rPr>
            <sz val="9"/>
            <color indexed="81"/>
            <rFont val="Segoe UI"/>
            <charset val="1"/>
          </rPr>
          <t>Insight iXlW00001C0000132R0279761703S00000262P02624LAocjBAQBF1NjaVRlZ2ljLmRhdGEuTW9sZWN1bGUBbQF/ARJTY2lUZWdpYy5Nb2xlY3VsZQAAAQFkAv5qAQAAAAIAAgElGAAAAPz8APwAAgAAAAAAAPC/AjerPldbsfW/Ao4G8BZI0BLAAAAAABgAAAD8/AD8AAIAAAAAAADwvwLXNO84RccGwALByqFFtnMTwAAAAAAcAAAA/PwA/AACAAAAAAAA8L8CtoR80LPZDcAC2j15WKg1DcAAAAAAGAAAAPz8APwAAgAAAAAAAPC/Alr1udqK/QjAApSHhVrTPALAAAAAABgAAAD8/AD8AAIAAAAAAADwvwKu2F92Tx76vwIv/yH99vUAwAAAAAAcAAAA/PwA/AACAAAAAAAA8L8C/Rhz1xLy578C1lbsL7unCsAAAAAAGAAAAPz8APwAAgAAAAAAAPC/Ag8LtaZ5x+c/Ajj4wmSqYAnAAAAAACAAAAD8/AD8AAIAAAAAAADwvwK30QDeAgn6PwLwp8ZLN4kRwAAAAAAYAAAA/PwA/AACAAAAAAAA8L8CQKTfvg6c9T8C5YOezarP/L8AAAAAGAAAAPz8APwAAgAAAAAAAPC/AmFUUiegiQZAAi2yne+nxve/AAAAABgAAAD8/AD8AAIAAAAAAADwvwLFjzF3LSEQQAKV1AloIuwCwAAAAAAcAAAA/PwA/AACAAAAAAAA8L8CXkvIBz2bFUACfIMvTKYK/L8AAAAAGAAAAPz8APwAAgAAAAAAAPC/Aka28/3UOBZAAnnpJjEIrNC/AAAAABgAAAD8/AD8AAIAAAAAAADwvwKxUGuad1wRQAI+eVioNc3jPwAAAAAYAAAA/PwA/AACAAAAAAAA8L8CMSqpE9DEB0ACB/AWSFD8eD8AAAAAHAAAAPz8APwAAgAAAAAAAPC/Atbnaiv2l/k/Am8Sg8DKoeM/AAAAABgAAAD8/AD8AAIAAAAAAADwvwIfFmpN8470PwIVHcnlP6QAQAAAAAAYAAAA/PwA/AACAAAAAAAA8L8CH/RsVn0uA0AC5KWbxCCwCEAAAAAAGAAAAPz8APwAAgAAAAAAAPC/AkSLbOf7qQBAAhIUP8bcNRJAAAAAABgAAAD8/AD8AAIAAAAAAADwvwJh5dAi2/nkPwLLEMe6uA0UQAAAAAAYAAAA/PwA/AACAAAAAAAA8L8CwH0dOGdE3b8CSOF6FK4HEEAAAAAAGAAAAPz8APwAAgAAAAAAAPC/AsZtNIC3QMK/Ak9AE2HDUwRAAAAAABgAAAD8/AD8AAIAAAAAAADwvwJsmnecoiPjPwJhw9MrZRngvwAAAAAYAAAA/PwA/AACAAAAAAAA8L8Cz/dT46Wb7L8CRdjw9EpZ1r8AAAAAGAAAAPz8APwAAgAAAAAAAPC/AgjOGVHaG/i/AuELk6mCUfA/AAAAABgAAAD8/AD8AAIAAAAAAADwvwIzVTAqqRPkvwJTJ6CJsOEBQAAAAAAYAAAA/PwA/AACAAAAAAAA8L8CufyH9NvX878CTMgHPZvVDEAAAAAAGAAAAPz8APwAAgAAAAAAAPC/AuviNhrA2wXAAhueXinLEA5AAAAAABgAAAD8/AD8AAIAAAAAAADwvwJq3nGKjuQMwALy0k1iEFgEQAAAAAAYAAAA/PwA/AACAAAAAAAA8L8CWvW52or9B8ACgLdAguLH8j8AAAAAGAAAAPz8APwAAgAAAAAAAPC/AhHHuriNBg/AAlHaG3xhMqW/AAAAACQAAAD8/AD8AAIAAAAAAADwvwJ8YTJVMGoUwALCqKROQJMFQAAAAAAgAAAA/PwA/AACAAAAAAAA8L8Cw4anV8qyG0ACB1+YTBWM1j8AAAAAGAAAAPz8APwAAgAAAAAAAPC/Aiz2l92TRyBAAlkXt9EA3uC/AAAAABgAAAD8/AD8AAIAAAAAAADwvwK5jQbwFggQwALZX3ZPHhbxvwAAAAAgAAAA/PwA/AACAAAAAAAA8L8COpLLf0j/FcACFR3J5T+k878AAAAAGAAAAPz8APwAAgAAAAAAAPC/AkYldQKaiBnAAnZxGw3gLZC/AAAAAAEpAAQEAAAAAAAAABQEAAAAAAAABAgEAAAAAAAACAwEAAAAAAAADBAEAAAAAAAADAEiBAAAAAAAABAUBAAAAAAAABQYBAAAAAAAABgcCAAAAAAAABggBAAAAAAAACAkBAAAAAAAACABFggMAAAAAAAkKAgMAAAAAAAkOAQAAAAAAAAoLAQAAAAAAAAsMAgIAAAAAAAwNAQAAAAAAAAwASAEAAAAAAAANDgICAAAAAAAODwEAAAAAAAAPAEQBAAAAAAAADwBFgQAAAAAAAABEAERBAAAAAAAAAEQARUEAAAAAAAAAREBEgQAAAAAAAABEgETBAAAAAAAAAETARQEAAAAAAAAARQBFQQAAAAAAAABFgEXBAAAAAAAAAEXARgEAAAAAAAAARgBGQgMAAAAAAABGAEdBAAAAAAAAAEZARoEAAAAAAAAARoBGwgIAAAAAAABGwEcBAAAAAAAAAEcAR0ICAAAAAAAARwBHwQAAAAAAAABHQEeBAAAAAAAAAEgASEEAAAAAAAAASIBIwQAAAAAAAABIwEkBAAAAAAAAAAAAAA=</t>
        </r>
      </text>
    </comment>
    <comment ref="A133" authorId="0" shapeId="0" xr:uid="{41B5EE48-AA03-4663-A076-AF477BB0C659}">
      <text>
        <r>
          <rPr>
            <sz val="9"/>
            <color indexed="81"/>
            <rFont val="Segoe UI"/>
            <charset val="1"/>
          </rPr>
          <t>Insight iXlW00001C0000133R0279761703S00000264P02640LAocjBAQBF1NjaVRlZ2ljLmRhdGEuTW9sZWN1bGUBbQF/ARJTY2lUZWdpYy5Nb2xlY3VsZQAAAQFkAv5qAQAAAAIAAgElGAAAAPz8APwAAgAAAAAAAPC/AqCrrdhfdvE/AskHPZtVXxDAAAAAABgAAAD8/AD8AAIAAAAAAADwvwISpb3BF6YDQAIi/fZ14NwSwAAAAAAcAAAA/PwA/AACAAAAAAAA8L8CXf5D+u1rDUAC+8vuycPCDsAAAAAAGAAAAPz8APwAAgAAAAAAAPC/Ai2yne+nRgxAAjiJQWDl0ALAAAAAABgAAAD8/AD8AAIAAAAAAADwvwLr4jYawFsBQAIIPZtVn6v7vwAAAAAcAAAA/PwA/AACAAAAAAAA8L8CY3/ZPXlY7j8CzczMzMzMBMAAAAAAGAAAAPz8APwAAgAAAAAAAPC/Akp7gy9Mptq/AjPEsS5uo/+/AAAAACAAAAD8/AD8AAIAAAAAAADwvwKoxks3iUH2vwLi6ZWyDPEIwAAAAAAYAAAA/PwA/AACAAAAAAAA8L8CY+5aQj7o4b8C6Ugu/yH93r8AAAAAGAAAAPz8APwAAgAAAAAAAPC/AgTnjCjtDeI/AkHxY8xdS+A/AAAAABgAAAD8/AD8AAIAAAAAAADwvwJWDi2ynW8AQAJVUiegibDVPwAAAAAYAAAA/PwA/AACAAAAAAAA8L8Cayv2l92TB0ACoWez6nO1+D8AAAAAGAAAAPz8APwAAgAAAAAAAPC/AiNKe4MvzAJAApVliGNdXAdAAAAAABgAAAD8/AD8AAIAAAAAAADwvwI51sVtNIDrPwLTTWIQWLkIQAAAAAAYAAAA/PwA/AACAAAAAAAA8L8C0m9fB84Zob8Cmggbnl4p/j8AAAAAHAAAAPz8APwAAgAAAAAAAPC/AgaBlUOLbPi/AjtwzojS3vs/AAAAABgAAAD8/AD8AAIAAAAAAADwvwIpXI/C9SgEwAJ4LSEf9OwGQAAAAAAYAAAA/PwA/AACAAAAAAAA8L8CDQIrhxZZAMAC9P3UeOkmEUAAAAAAGAAAAPz8APwAAgAAAAAAAPC/AnrHKTqSSwjAAr3jFB3JpRVAAAAAABgAAAD8/AD8AAIAAAAAAADwvwK7SQwCKwcSwAIydy0hH3QUQAAAAAAYAAAA/PwA/AACAAAAAAAA8L8CyXa+nxrvE8AC8x/Sb1+HDUAAAAAAGAAAAPz8APwAAgAAAAAAAPC/AuxRuB6F6w/AApkqGJXUiQRAAAAAABgAAAD8/AD8AAIAAAAAAADwvwIcDeAtkKD9vwKHp1fKMsTRPwAAAAAgAAAA/PwA/AACAAAAAAAA8L8Ci47k8h/SCcACexSuR+F61L8AAAAAGAAAAPz8APwAAgAAAAAAAPC/Asl2vp8aLwvAAkku/yH99vy/AAAAABgAAAD8/AD8AAIAAAAAAADwvwIK16NwPYoBwAI6tMh2vp8FwAAAAAAYAAAA/PwA/AACAAAAAAAA8L8CSb99HTjnAsACZ0Rpb/DFEMAAAAAAGAAAAPz8APwAAgAAAAAAAPC/AkZHcvkP6Q3AAiigibDhKRPAAAAAABgAAAD8/AD8AAIAAAAAAADwvwJmiGNd3MYTwAICTYQNTy8PwAAAAAAYAAAA/PwA/AACAAAAAAAA8L8CR5T2Bl8YE8ACpU5AE2FDA8AAAAAAGAAAAPz8APwAAgAAAAAAAPC/AryWkA96NgBAAnpYqDXNO86/AAAAABgAAAD8/AD8AAIAAAAAAADwvwLOGVHaG/wJQAIjSnuDL0zkPwAAAAAYAAAA/PwA/AACAAAAAAAA8L8C16NwPQrXCEAChetRuB4FAUAAAAAAGAAAAPz8APwAAgAAAAAAAPC/AnWTGARWThFAApZDi2zn+wdAAAAAABgAAAD8/AD8AAIAAAAAAADwvwIW+8vuycMWQAIbL90kBgEDQAAAAAAYAAAA/PwA/AACAAAAAAAA8L8CEjY8vVJWF0ACelioNc077D8AAAAAGAAAAPz8APwAAgAAAAAAAPC/Aoj029eBcxJAAmfV52or9oc/AAAAAAEqAAQEAAAAAAAAABQEAAAAAAAABAgEAAAAAAAACAwEAAAAAAAADBAEAAAAAAAAEBQEAAAAAAAAEAEe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BHgEfBAAAAAAAAAEfASAIDAAAAAAAAR8BJAQAAAAAAAABIAEhBAAAAAAAAAEhASIICAAAAAAAASIBIwQAAAAAAAABIwEkCAgAAAAAAAAAAAA=</t>
        </r>
      </text>
    </comment>
    <comment ref="A134" authorId="0" shapeId="0" xr:uid="{2D2C43FE-7DEF-47E1-B0C2-1421AE33E211}">
      <text>
        <r>
          <rPr>
            <sz val="9"/>
            <color indexed="81"/>
            <rFont val="Segoe UI"/>
            <charset val="1"/>
          </rPr>
          <t>Insight iXlW00001C0000134R0279761703S00000266P02420LAocjBAQBF1NjaVRlZ2ljLmRhdGEuTW9sZWN1bGUBbQF/ARJTY2lUZWdpYy5Nb2xlY3VsZQAAAQFkAv5qAQAAAAIAAgEiGAAAAPz8APwAAgAAAAAAAPC/AqH4MeauJfA/AqMjufyHNBPAAAAAABgAAAD8/AD8AAIAAAAAAADwvwKBlUOLbOfDvwIj2/l+avwWwAAAAAAcAAAA/PwA/AACAAAAAAAA8L8CEOm3rwPn+L8CZTvfT43XFMAAAAAAGAAAAPz8APwAAgAAAAAAAPC/ApGg+DHmrvy/AkzIBz2b1Q3AAAAAABgAAAD8/AD8AAIAAAAAAADwvwJhw9MrZRnkvwITg8DKoUUGwAAAAAAcAAAA/PwA/AACAAAAAAAA8L8CQYLix5i76D8CkML1KFyPCsAAAAAAGAAAAPz8APwAAgAAAAAAAPC/AnGsi9toAP8/Ald9rrZi/wLAAAAAACAAAAD8/AD8AAIAAAAAAADwvwKhZ7Pqc7UKQALUvOMUHUkHwAAAAAAYAAAA/PwA/AACAAAAAAAA8L8C8fRKWYY4+z8Cg+LHmLuW7L8AAAAAGAAAAPz8APwAAgAAAAAAAPC/Atlfdk8eFgZAAj29UpYhjsU/AAAAABgAAAD8/AD8AAIAAAAAAADwvwK30QDeAgkRQAIXSFD8GHO3PwAAAAAYAAAA/PwA/AACAAAAAAAA8L8CI0p7gy9MFEACz/dT46Wb9T8AAAAAGAAAAPz8APwAAgAAAAAAAPC/Aqk1zTtOkRFAAiEf9GxWfQVAAAAAABwAAAD8/AD8AAIAAAAAAADwvwK7Jw8LtSYHQALtnjws1BoGQAAAAAAYAAAA/PwA/AACAAAAAAAA8L8C4zYawFugAEACG55eKcsQ+D8AAAAAHAAAAPz8APwAAgAAAAAAAPC/ArTIdr6fGuM/AgyTqYJRSfQ/AAAAABgAAAD8/AD8AAIAAAAAAADwvwI7kst/SL/dvwKu2F92T54CQAAAAAAYAAAA/PwA/AACAAAAAAAA8L8CTRWMSuoEtL8C9WxWfa42DkAAAAAAGAAAAPz8APwAAgAAAAAAAPC/Aj4K16NwPfK/Ag6+MJkqWBNAAAAAABgAAAD8/AD8AAIAAAAAAADwvwJpke18P7UEwAK30QDeAskRQAAAAAAYAAAA/PwA/AACAAAAAAAA8L8CBqOSOgHNB8ACYeXQItv5B0AAAAAAGAAAAPz8APwAAgAAAAAAAPC/AiL99nXgnP6/AgAAAAAAAP8/AAAAABgAAAD8/AD8AAIAAAAAAADwvwKyne+nxkvXPwKppE5AE2HLvwAAAAAYAAAA/PwA/AACAAAAAAAA8L8CDr4wmSoY778CAk2EDU+v7L8AAAAAGAAAAPz8APwAAgAAAAAAAPC/AiqpE9BE2AHAAgJNhA1Pr7S/AAAAABgAAAD8/AD8AAIAAAAAAADwvwKX/5B++zoBwAJbQj7o2az2PwAAAAAYAAAA/PwA/AACAAAAAAAA8L8CPnlYqDVNC8ACzTtO0ZHcAUAAAAAAGAAAAPz8APwAAgAAAAAAAPC/Alg5tMh2/hLAAiDSb18Hzvg/AAAAABgAAAD8/AD8AAIAAAAAAADwvwIijnVxG00TwAJ90LNZ9bmqPwAAAAAYAAAA/PwA/AACAAAAAAAA8L8CnaIjufyHDMACeC0hH/Rs6L8AAAAAGAAAAPz8APwAAgAAAAAAAPC/AjBMpgpGJQ3AAvSOU3QkFwLAAAAAACQAAAD8/AD8AAIAAAAAAADwvwLbiv1l96QYwALtDb4wmSrkvwAAAAAgAAAA/PwA/AACAAAAAAAA8L8C7uvAOSNKGkACOPjCZKpg9D8AAAAAGAAAAPz8APwAAgAAAAAAAPC/AmkAb4EEBR1AAnrHKTqSy6+/AAAAAAEmAAQEAAAAAAAAABQEAAAAAAAABAgEAAAAAAAACAwEAAAAAAAADBAEAAAAAAAAEBQEAAAAAAAAFBgEAAAAAAAAGBwIAAAAAAAAGCAEAAAAAAAAICQEAAAAAAAAIAEWCAwAAAAAACQoCAwAAAAAACQ4BAAAAAAAACgsBAAAAAAAACwwCAgAAAAAACwBIAQAAAAAAAAwNAQAAAAAAAA0OAgIAAAAAAA4PAQAAAAAAAA8ARAEAAAAAAAAPAEWBAAAAAAAAAEQAREIDAAAAAAAARABFQQAAAAAAAABEQESBAAAAAAAAAESARMICAAAAAAAARMBFAQAAAAAAAABFAEVCAgAAAAAAAEWARcEAAAAAAAAARcBGAQAAAAAAAABGAEZCAwAAAAAAAEYAR0EAAAAAAAAARkBGgQAAAAAAAABGgEbCAgAAAAAAAEbARwEAAAAAAAAARwBHQgIAAAAAAABHAEfBAAAAAAAAAEdAR4EAAAAAAAAASABIQQAAAAAAAAAAAAA</t>
        </r>
      </text>
    </comment>
    <comment ref="A135" authorId="0" shapeId="0" xr:uid="{215A09E2-EFA8-45FA-94FB-46B75F5F4E8D}">
      <text>
        <r>
          <rPr>
            <sz val="9"/>
            <color indexed="81"/>
            <rFont val="Segoe UI"/>
            <charset val="1"/>
          </rPr>
          <t>Insight iXlW00001C0000135R0279761703S00000268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GAAAAPz8APwAAgAAAAAAAPC/AmgibHh6pcy/AuxRuB6F6xRAAAAAABg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HAAAAPz8APwAAgAAAAAAAPC/AobJVMGoJArAAigPC7Wmefw/AAAAABgAAAD8/AD8AAIAAAAAAADwvwKu2F92Tx7ePwL+1HjpJjHUPwAAAAAg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36" authorId="0" shapeId="0" xr:uid="{85EF686B-EDB4-4EF7-8F60-4821D8919809}">
      <text>
        <r>
          <rPr>
            <sz val="9"/>
            <color indexed="81"/>
            <rFont val="Segoe UI"/>
            <charset val="1"/>
          </rPr>
          <t>Insight iXlW00001C0000136R0279761703S00000270P02352LAocjBAQBF1NjaVRlZ2ljLmRhdGEuTW9sZWN1bGUBbQF/ARJTY2lUZWdpYy5Nb2xlY3VsZQAAAQFkAv5qAQAAAAIAAgEhGAAAAPz8APwAAgAAAAAAAPC/AndPHhZqzQpAAp88LNSaZg7AAAAAABgAAAD8/AD8AAIAAAAAAADwvwKoV8oyxDEGQAJa9bnair0UwAAAAAAcAAAA/PwA/AACAAAAAAAA8L8Cg+LHmLuW9D8CMuauJeSDFcAAAAAAGAAAAPz8APwAAgAAAAAAAPC/AhHHuriNBtg/AgAAAAAAwBDAAAAAABgAAAD8/AD8AAIAAAAAAADwvwLi6ZWyDHHuPwKze/KwUGsGwAAAAAAcAAAA/PwA/AACAAAAAAAA8L8C3+ALk6mCA0ACA5oIG57eBMAAAAAAGAAAAPz8APwAAgAAAAAAAPC/Aq7YX3ZPHghAAtzXgXNGlPO/AAAAACAAAAD8/AD8AAIAAAAAAADwvwJuNIC3QAISQAJ7FK5H4XrwvwAAAAAYAAAA/PwA/AACAAAAAAAA8L8CFmpN847TAEACguLHmLuWoL8AAAAAGAAAAPz8APwAAgAAAAAAAPC/Ah3r4jYaQARAAl1txf6ye/Y/AAAAABwAAAD8/AD8AAIAAAAAAADwvwKD4seYuxYPQAJq3nGKjmQAQAAAAAAYAAAA/PwA/AACAAAAAAAA8L8ChC9MpgoGEEAC0bNZ9blaDEAAAAAAGAAAAPz8APwAAgAAAAAAAPC/Aibkg57NKgZAAr4wmSoYlRFAAAAAABgAAAD8/AD8AAIAAAAAAADwvwKA2T15WKj2PwL6D+m3rwMOQAAAAAAYAAAA/PwA/AACAAAAAAAA8L8CduCcEaW99D8CkzoBTYQNAkAAAAAAHAAAAPz8APwAAgAAAAAAAPC/AuJ6FK5H4bo/AvaX3ZOHhfU/AAAAABgAAAD8/AD8AAIAAAAAAADwvwLDZKpgVFL1vwIDmggbnl78PwAAAAAYAAAA/PwA/AACAAAAAAAA8L8C/yH99nVgA8ACOpLLf0i/5z8AAAAAGAAAAPz8APwAAgAAAAAAAPC/AnHOiNLe4A7AApt3nKIjufI/AAAAABgAAAD8/AD8AAIAAAAAAADwvwKGWtO849QQwAJGJXUCmggFQAAAAAAYAAAA/PwA/AACAAAAAAAA8L8CbsX+snvyCMACuY0G8BZIDUAAAAAAGAAAAPz8APwAAgAAAAAAAPC/Avkx5q4l5Pq/ArMMcayL2wlAAAAAABgAAAD8/AD8AAIAAAAAAADwvwLhC5OpglHjPwKpNc07TtGxvwAAAAAgAAAA/PwA/AACAAAAAAAA8L8CN6s+V1uxz78CHcnlP6Tf9L8AAAAAGAAAAPz8APwAAgAAAAAAAPC/AjWAt0CC4vu/AhTQRNjw9PK/AAAAABgAAAD8/AD8AAIAAAAAAADwvwL/Q/rt68AEwALr4jYawFsDwAAAAAAYAAAA/PwA/AACAAAAAAAA8L8CswxxrItbEMACZ2ZmZmZmAsAAAAAAGAAAAPz8APwAAgAAAAAAAPC/AnS1FfvL7hLAAgK8BRIUP+6/AAAAABgAAAD8/AD8AAIAAAAAAADwvwI9vVKWIQ4PwAIHX5hMFYzSPwAAAAAYAAAA/PwA/AACAAAAAAAA8L8C1udqK/YXA8ACw/UoXI/CxT8AAAAAJAAAAPz8APwAAgAAAAAAAPC/AmAHzhlRGhLAAo4G8BZIUPo/AAAAABgAAAD8/AD8AAIAAAAAAADwvwKHONbFbTT/vwJS2ht8YTIOwAAAAAAgAAAA/PwA/AACAAAAAAAA8L8CN6s+V1txFUACqoJRSZ3AEEAAAAAAASUABAQAAAAAAAAAFAQAAAAAAAAECAQAAAAAAAAIDAQAAAAAAAAMEAQAAAAAAAAQFAQAAAAAAAAUGAQAAAAAAAAYHAgAAAAAAAAYIAQAAAAAAAAgJAQAAAAAAAAgARYIDAAAAAAAJCgEAAAAAAAAJDgIDAAAAAAAKCwEAAAAAAAALDAEAAAAAAAALAEgCAAAAAAAADA0CAgAAAAAADQ4BAAAAAAAADg8BAAAAAAAADwBEAQAAAAAAAA8ARYEAAAAAAAAARABEQgMAAAAAAABEAEVBAAAAAAAAAERARIEAAAAAAAAARIBEwgIAAAAAAABEwEUBAAAAAAAAAEUARUICAAAAAAAARYBFwQAAAAAAAABFwEYBAAAAAAAAAEYARkIDAAAAAAAARgBHQQAAAAAAAABGQEaBAAAAAAAAAEZAR8EAAAAAAAAARoBGwgIAAAAAAABGwEcBAAAAAAAAAEcAR0ICAAAAAAAARwBHgQAAAAAAAAAAAAA</t>
        </r>
      </text>
    </comment>
    <comment ref="A137" authorId="0" shapeId="0" xr:uid="{745AA3C4-046B-4E95-ABE2-418E61093D71}">
      <text>
        <r>
          <rPr>
            <sz val="9"/>
            <color indexed="81"/>
            <rFont val="Segoe UI"/>
            <charset val="1"/>
          </rPr>
          <t>Insight iXlW00001C0000137R0279761703S00000272P02220LAocjBAQBF1NjaVRlZ2ljLmRhdGEuTW9sZWN1bGUBbQF/ARJTY2lUZWdpYy5Nb2xlY3VsZQAAAQFkAv5qAQAAAAIAAgEfGAAAAPz8APwAAgAAAAAAAPC/As4ZUdobfBPAAjQzMzMzM+s/AAAAABgAAAD8/AD8AAIAAAAAAADwvwLswDkjSvsUwAIkKH6MuWsCQAAAAAAcAAAA/PwA/AACAAAAAAAA8L8CppvEILCyEMACNBE2PL3SCkAAAAAAGAAAAPz8APwAAgAAAAAAAPC/AoSezarP1QXAAiZ1ApoImwdAAAAAABgAAAD8/AD8AAIAAAAAAADwvwKBJsKGp9cCwAKcM6K0N/j3PwAAAAAcAAAA/PwA/AACAAAAAAAA8L8CDXGsi9toC8AC8YXJVMGo3D8AAAAAGAAAAPz8APwAAgAAAAAAAPC/AtEi2/l+agjAAjNVMCqpE/C/AAAAACAAAAD8/AD8AAIAAAAAAADwvwKvtmJ/2X0QwALi6ZWyDHEAwAAAAAAYAAAA/PwA/AACAAAAAAAA8L8CEhQ/xty1+b8CwTkjSnuD9r8AAAAAGAAAAPz8APwAAgAAAAAAAPC/AocW2c73U/G/AjnWxW00gAbAAAAAABgAAAD8/AD8AAIAAAAAAADwvwLLMsSxLm78vwI2zTtO0ZEQwAAAAAAYAAAA/PwA/AACAAAAAAAA8L8CeXqlLEMc778CxNMrZRmiFcAAAAAAGAAAAPz8APwAAgAAAAAAAPC/Ag0CK4cW2eA/AhwN4C2QYBXAAAAAABwAAAD8/AD8AAIAAAAAAADwvwJKnYAmwobzPwICK4cW2Q4QwAAAAAAYAAAA/PwA/AACAAAAAAAA8L8C7Z48LNSa2j8C6Ugu/yH9BcAAAAAAHAAAAPz8APwAAgAAAAAAAPC/ArK/7J48LOo/ArMMcayL2/S/AAAAABgAAAD8/AD8AAIAAAAAAADwvwJFaW/whckBQAJuxf6ye/LovwAAAAAYAAAA/PwA/AACAAAAAAAA8L8C0gDeAgkKC0AC4ZwRpb3B+78AAAAAGAAAAPz8APwAAgAAAAAAAPC/AjEIrBxaJBNAAlafq63YX/O/AAAAABgAAAD8/AD8AAIAAAAAAADwvwIX2c73UyMUQAJBE2HD0yvRPwAAAAAYAAAA/PwA/AACAAAAAAAA8L8CaERpb/AFD0AC+n5qvHST8z8AAAAAGAAAAPz8APwAAgAAAAAAAPC/Ag8LtaZ5xwNAAt4CCYofY+Y/AAAAABgAAAD8/AD8AAIAAAAAAADwvwKegCbChqfbvwLOO07RkVzevwAAAAAgAAAA/PwA/AACAAAAAAAA8L8CHeviNhrA378C3gIJih9j8D8AAAAAGAAAAPz8APwAAgAAAAAAAPC/AuC+Dpwzoug/Am14eqUsQ/0/AAAAABgAAAD8/AD8AAIAAAAAAADwvwLrc7UV+8sAQAIpXI/C9SjyPwAAAAAYAAAA/PwA/AACAAAAAAAA8L8CB4GVQ4vsCkACuNEA3gIJ/z8AAAAAGAAAAPz8APwAAgAAAAAAAPC/Arfz/dR4aQpAAv2H9NvXgQtAAAAAABgAAAD8/AD8AAIAAAAAAADwvwIHX5hMFYz/PwIPC7WmeYcQQAAAAAAYAAAA/PwA/AACAAAAAAAA8L8CoImw4emV5j8CWFuxv+yeCkAAAAAAJAAAAPz8APwAAgAAAAAAAPC/Ag3gLZCg+OO/Ar10kxgEFhBAAAAAAAEj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EdAR4EAAAAAAAAAAAAAA==</t>
        </r>
      </text>
    </comment>
    <comment ref="A138" authorId="0" shapeId="0" xr:uid="{E622D8F0-C2F4-43A4-9B77-92C910D37D95}">
      <text>
        <r>
          <rPr>
            <sz val="9"/>
            <color indexed="81"/>
            <rFont val="Segoe UI"/>
            <charset val="1"/>
          </rPr>
          <t>Insight iXlW00001C0000138R0279761703S00000274P02152LAocjBAQBF1NjaVRlZ2ljLmRhdGEuTW9sZWN1bGUBbQF/ARJTY2lUZWdpYy5Nb2xlY3VsZQAAAQFkAv5qAQAAAAIAAgEeGAAAAPz8APwAAgAAAAAAAPC/Ak9AE2HDUxNAAv0Yc9cS8vO/AAAAABgAAAD8/AD8AAIAAAAAAADwvwI2XrpJDIIUQAKUh4Va07wFwAAAAAAcAAAA/PwA/AACAAAAAAAA8L8CGy/dJAYBEEAC7g2+MJmqDcAAAAAAGAAAAPz8APwAAgAAAAAAAPC/AjPEsS5uowRAAsDsnjws1AnAAAAAABgAAAD8/AD8AAIAAAAAAADwvwItsp3vp0YCQAJU46WbxCD8vwAAAAAcAAAA/PwA/AACAAAAAAAA8L8CYxBYObRIC0ACQ61p3nGK6L8AAAAAGAAAAPz8APwAAgAAAAAAAPC/ApXUCWgi7AhAAhQ/xty1hOY/AAAAACAAAAD8/AD8AAIAAAAAAADwvwJlGeJYF/cQQALMf0i/fR37PwAAAAAYAAAA/PwA/AACAAAAAAAA8L8Ctch2vp8a+z8C5WGh1jTv8j8AAAAAGAAAAPz8APwAAgAAAAAAAPC/Am7F/rJ78vM/AiQofoy56wRAAAAAABgAAAD8/AD8AAIAAAAAAADwvwL0jlN0JBcAQAKRD3o2qz4PQAAAAAAYAAAA/PwA/AACAAAAAAAA8L8CQs9m1edq9D8CJzEIrBzaFEAAAAAAGAAAAPz8APwAAgAAAAAAAPC/AmgibHh6pcy/AuxRuB6F6xRAAAAAABwAAAD8/AD8AAIAAAAAAADwvwJvEoPAyqHvvwJrvHSTGIQPQAAAAAAYAAAA/PwA/AACAAAAAAAA8L8ChzjWxW000L8CrmnecYoOBUAAAAAAHAAAAPz8APwAAgAAAAAAAPC/AvmgZ7Pqc+e/AuXyH9JvX/M/AAAAABgAAAD8/AD8AAIAAAAAAADwvwJwXwfOGVEBwAJahjjWxW3oPwAAAAAYAAAA/PwA/AACAAAAAAAA8L8CjGzn+6nxA8ACKxiV1Alo5r8AAAAAGAAAAPz8APwAAgAAAAAAAPC/Ava52or9ZQ/AAlyPwvUoXPK/AAAAABgAAAD8/AD8AAIAAAAAAADwvwIGEhQ/xhwUwAKRfvs6cM7AvwAAAAAYAAAA/PwA/AACAAAAAAAA8L8CXCBB8WPMEsACcF8HzhlR9T8AAAAAGAAAAPz8APwAAgAAAAAAAPC/AobJVMGoJArAAigPC7Wmefw/AAAAABgAAAD8/AD8AAIAAAAAAADwvwKu2F92Tx7ePwL+1HjpJjHUPwAAAAAYAAAA/PwA/AACAAAAAAAA8L8CKX6MuWsJ3T8CUB4Wak3z8r8AAAAAGAAAAPz8APwAAgAAAAAAAPC/AsNkqmBUUuu/AmYZ4lgXt/6/AAAAABgAAAD8/AD8AAIAAAAAAADwvwLoaiv2l93rvwJ6Nqs+V1sLwAAAAAAYAAAA/PwA/AACAAAAAAAA8L8Cdy0hH/RsAcACA5oIG56eEMAAAAAAGAAAAPz8APwAAgAAAAAAAPC/AuQUHcnlvwvAApAxdy0hHwvAAAAAABgAAAD8/AD8AAIAAAAAAADwvwJb07zjFJ0LwAKRD3o2qz7+vwAAAAAYAAAA/PwA/AACAAAAAAAA8L8CnoAmwoYnAcAC7MA5I0p78r8AAAAAASIABAQAAAAAAAAAFAQAAAAAAAAECAQAAAAAAAAIDAQAAAAAAAAMEAQAAAAAAAAQFAQAAAAAAAAUGAQAAAAAAAAYHAgAAAAAAAAYIAQAAAAAAAAgJAQAAAAAAAAgARYIDAAAAAAAJCgIDAAAAAAAJDgEAAAAAAAAKCwEAAAAAAAALDAICAAAAAAAMDQEAAAAAAAANDgICAAAAAAAODwEAAAAAAAAPAEQBAAAAAAAADwBFgQAAAAAAAABEAERCAwAAAAAAAEQARUEAAAAAAAAAREBEgQAAAAAAAABEgETCAgAAAAAAAETARQEAAAAAAAAARQBFQgIAAAAAAABFgEXBAAAAAAAAAEXARgEAAAAAAAAARgBGQgMAAAAAAABGAEdBAAAAAAAAAEZARoEAAAAAAAAARoBGwgIAAAAAAABGwEcBAAAAAAAAAEcAR0ICAAAAAAAAAAAAA==</t>
        </r>
      </text>
    </comment>
    <comment ref="A139" authorId="0" shapeId="0" xr:uid="{C60C6CC1-DFA4-45FF-9470-0ECC2A48839E}">
      <text>
        <r>
          <rPr>
            <sz val="9"/>
            <color indexed="81"/>
            <rFont val="Segoe UI"/>
            <charset val="1"/>
          </rPr>
          <t>Insight iXlW00001C0000139R0279761703S00000276P02216LAocjBAQBF1NjaVRlZ2ljLmRhdGEuTW9sZWN1bGUBbQF/ARJTY2lUZWdpYy5Nb2xlY3VsZQAAAQFkAv5qAQAAAAIAAgEfGAAAAPz8APwAAgAAAAAAAPC/Aq7YX3ZPnhPAAh1aZDvfT9E/AAAAABgAAAD8/AD8AAIAAAAAAADwvwIlBoGVQ8sVwAIZBFYOLbL6PwAAAAAcAAAA/PwA/AACAAAAAAAA8L8C0gDeAgkKEsACaZHtfD+1BkAAAAAAGAAAAPz8APwAAgAAAAAAAPC/Ag+cM6K0NwjAAvyp8dJN4gRAAAAAABgAAAD8/AD8AAIAAAAAAADwvwIhQfFjzN0DwALYEvJBz2bzPwAAAAAcAAAA/PwA/AACAAAAAAAA8L8Cx0s3iUFgC8AC5IOezarPpT8AAAAAGAAAAPz8APwAAgAAAAAAAPC/Atnw9EpZBgfAAgJNhA1Pr/W/AAAAACAAAAD8/AD8AAIAAAAAAADwvwJ/+zpwzogOwALdtYR80DMEwAAAAAAYAAAA/PwA/AACAAAAAAAA8L8ChxbZzvdT9r8Cam/whclU+b8AAAAAGAAAAPz8APwAAgAAAAAAAPC/AnnpJjEIrOa/AtsbfGEyVQfAAAAAABgAAAD8/AD8AAIAAAAAAADwvwKEns2qz9XzvwKeXinLEEcRwAAAAAAYAAAA/PwA/AACAAAAAAAA8L8CoImw4emV0r8CzqrP1VbsFcAAAAAAGAAAAPz8APwAAgAAAAAAAPC/AgrXo3A9CvM/AmmR7Xw/9RTAAAAAABgAAAD8/AD8AAIAAAAAAADwvwLSAN4CCYr7PwJvgQTFj7EOwAAAAAAYAAAA/PwA/AACAAAAAAAA8L8CTmIQWDm06D8C2BLyQc9mBcAAAAAAHAAAAPz8APwAAgAAAAAAAPC/Ah6n6Egu/+8/AvcGX5hMFfO/AAAAABgAAAD8/AD8AAIAAAAAAADwvwLtDb4wmaoCQAJ2cRsN4C3gvwAAAAAYAAAA/PwA/AACAAAAAAAA8L8CPgrXo3A9A0ACh6dXyjLE7z8AAAAAGAAAAPz8APwAAgAAAAAAAPC/AmTuWkI+6A1AAo51cRsN4Po/AAAAABgAAAD8/AD8AAIAAAAAAADwvwId6+I2GgAUQAKYbhKDwMrrPwAAAAAYAAAA/PwA/AACAAAAAAAA8L8C9GxWfa62E0ACZapgVFIn5L8AAAAAGAAAAPz8APwAAgAAAAAAAPC/AsP1KFyPwgxAAm6jAbwFEvW/AAAAABgAAAD8/AD8AAIAAAAAAADwvwJ24JwRpb3VvwJUdCSX/5DgvwAAAAAgAAAA/PwA/AACAAAAAAAA8L8CR5T2Bl+Y4r8CkX77OnDO7j8AAAAAGAAAAPz8APwAAgAAAAAAAPC/AjbNO07RkeI/AmU730+Nl/4/AAAAABgAAAD8/AD8AAIAAAAAAADwvwIZBFYOLbLVPwJsmnecoiMLQAAAAAAYAAAA/PwA/AACAAAAAAAA8L8CxbEubqMB+D8CPSzUmuZdEUAAAAAAGAAAAPz8APwAAgAAAAAAAPC/AkT67evAOQdAApZDi2znew5AAAAAABgAAAD8/AD8AAIAAAAAAADwvwJHA3gLJCgJQAKkcD0K16MCQAAAAAAYAAAA/PwA/AACAAAAAAAA8L8CXynLEMe6/z8CnRGlvcEX9j8AAAAAGAAAAPz8APwAAgAAAAAAAPC/AqFns+pztQDAAlg5tMh2Pg5AAAAAAAEjAAQEAAAAAAAAABQEAAAAAAAABAgEAAAAAAAACAwEAAAAAAAADBAEAAAAAAAADAEeBAAAAAAAABAUBAAAAAAAABQYBAAAAAAAABgcCAAAAAAAABggBAAAAAAAACAkBAAAAAAAACABFggMAAAAAAAkKAgMAAAAAAAkOAQAAAAAAAAoLAQAAAAAAAAsMAgIAAAAAAAwNAQAAAAAAAA0OAgIAAAAAAA4PAQAAAAAAAA8ARAEAAAAAAAAPAEWBAAAAAAAAAEQAREIDAAAAAAAARABFQQAAAAAAAABEQESBAAAAAAAAAESARMICAAAAAAAARMBFAQAAAAAAAABFAEVCAgAAAAAAAEWARcEAAAAAAAAARcBGAQAAAAAAAABGAEZCAwAAAAAAAEYAR0EAAAAAAAAARkBGgQAAAAAAAABGgEbCAgAAAAAAAEbARwEAAAAAAAAARwBHQgIAAAAAAAAAAAA</t>
        </r>
      </text>
    </comment>
    <comment ref="A140" authorId="0" shapeId="0" xr:uid="{B1F283D5-9EEC-4EB9-A9AE-A7973D18B93B}">
      <text>
        <r>
          <rPr>
            <sz val="9"/>
            <color indexed="81"/>
            <rFont val="Segoe UI"/>
            <charset val="1"/>
          </rPr>
          <t>Insight iXlW00001C0000140R0279761703S00000278P02420LAocjBAQBF1NjaVRlZ2ljLmRhdGEuTW9sZWN1bGUBbQF/ARJTY2lUZWdpYy5Nb2xlY3VsZQAAAQFkAv5qAQAAAAIAAgEiGAAAAPz8APwAAgAAAAAAAPC/Ahlz1xLyQf8/AiZTBaOSehLAAAAAABgAAAD8/AD8AAIAAAAAAADwvwLAfR04Z0TwPwJgdk8eFioXwAAAAAAcAAAA/PwA/AACAAAAAAAA8L8C9UpZhjjW3b8CNKK0N/hCFsAAAAAAGAAAAPz8APwAAgAAAAAAAPC/AuAtkKD4MfC/As6qz9VWrBDAAAAAABgAAAD8/AD8AAIAAAAAAADwvwJmiGNd3EazvwIoDwu1pvkHwAAAAAAcAAAA/PwA/AACAAAAAAAA8L8C9pfdk4eF9j8CgbdAguLHCcAAAAAAGAAAAPz8APwAAgAAAAAAAPC/AqjGSzeJwQJAAg1xrIvbaADAAAAAACAAAAD8/AD8AAIAAAAAAADwvwLnriXkg54OQAItQxzr4jYCwAAAAAAYAAAA/PwA/AACAAAAAAAA8L8CLbKd76fG/D8CAwmKH2Pu5L8AAAAAGAAAAPz8APwAAgAAAAAAAPC/AgYSFD/G3ARAAs4ZUdobfOM/AAAAABwAAAD8/AD8AAIAAAAAAADwvwILRiV1AloQQAJI4XoUrkfrPwAAAAAYAAAA/PwA/AACAAAAAAAA8L8CK4cW2c53EkACeAskKH4MAkAAAAAAGAAAAPz8APwAAgAAAAAAAPC/AogW2c73Uw1AAsDsnjwsVAtAAAAAABgAAAD8/AD8AAIAAAAAAADwvwJ4nKIjuXwBQAKppE5AE2EJQAAAAAAYAAAA/PwA/AACAAAAAAAA8L8CbjSAt0CC+j8CBqOSOgFN/D8AAAAAHAAAAPz8APwAAgAAAAAAAPC/Aldbsb/sntA/AuPHmLuWkPM/AAAAABgAAAD8/AD8AAIAAAAAAADwvwIijnVxGw3wvwIZc9cS8kEAQAAAAAAYAAAA/PwA/AACAAAAAAAA8L8CAU2EDU+vAsACIR/0bFZ99T8AAAAAGAAAAPz8APwAAgAAAAAAAPC/An0/NV66yQzAAoBIv30dOAFAAAAAABgAAAD8/AD8AAIAAAAAAADwvwIJrBxaZDsMwAL45GGh1jQNQAAAAAAYAAAA/PwA/AACAAAAAAAA8L8CUfwYc9eSAcACQKTfvg5cEUAAAAAAGAAAAPz8APwAAgAAAAAAAPC/AnHOiNLe4O2/ApEPejarPgxAAAAAABgAAAD8/AD8AAIAAAAAAADwvwK1pnnHKTrWPwKJ0t7gC5PRvwAAAAAgAAAA/PwA/AACAAAAAAAA8L8CxbEubqMB6r8CQKTfvg6c878AAAAAGAAAAPz8APwAAgAAAAAAAPC/Apf/kH77ugHAAl+YTBWMSua/AAAAABgAAAD8/AD8AAIAAAAAAADwvwLf4AuTqQILwALOO07RkVz6vwAAAAAYAAAA/PwA/AACAAAAAAAA8L8CA5oIG54eE8ACTDeJQWDl8b8AAAAAGAAAAPz8APwAAgAAAAAAAPC/AvLSTWIQGBTAAk7zjlN0JNc/AAAAABgAAAD8/AD8AAIAAAAAAADwvwKcxCCwcugOwAJxrIvbaAD1PwAAAAAYAAAA/PwA/AACAAAAAAAA8L8CdnEbDeCtA8AC4E+Nl24S6T8AAAAAJAAAAPz8APwAAgAAAAAAAPC/Aj2bVZ+rbRDAAkhQ/BhzVwZAAAAAABgAAAD8/AD8AAIAAAAAAADwvwIBb4EExQ8JwAL3l92ThwUJwAAAAAAgAAAA/PwA/AACAAAAAAAA8L8CM8SxLm5jGEACV32utmL/A0AAAAAAGAAAAPz8APwAAgAAAAAAAPC/AhvAWyBBMRxAAh44Z0Rpb/U/AAAAAAEmAAQEAAAAAAAAABQEAAAAAAAABAgEAAAAAAAACAwEAAAAAAAADBAEAAAAAAAAEBQEAAAAAAAAFBgEAAAAAAAAGBwIAAAAAAAAGCAEAAAAAAAAICQEAAAAAAAAIAEWCAwAAAAAACQoCAwAAAAAACQ4BAAAAAAAACgsBAAAAAAAACwwCAgAAAAAACwBIAQAAAAAAAAwNAQAAAAAAAA0OAgIAAAAAAA4PAQAAAAAAAA8ARAEAAAAAAAAPAEWBAAAAAAAAAEQAREIDAAAAAAAARABFQQAAAAAAAABEQESBAAAAAAAAAESARMICAAAAAAAARMBFAQAAAAAAAABFAEVCAgAAAAAAAEWARcEAAAAAAAAARcBGAQAAAAAAAABGAEZCAwAAAAAAAEYAR0EAAAAAAAAARkBGgQAAAAAAAABGQEfBAAAAAAAAAEaARsICAAAAAAAARsBHAQAAAAAAAABHAEdCAgAAAAAAAEcAR4EAAAAAAAAASABIQQAAAAAAAAAAAAA</t>
        </r>
      </text>
    </comment>
    <comment ref="A141" authorId="0" shapeId="0" xr:uid="{67A8BFC0-2BEF-4031-A79C-0E3115EFC6A1}">
      <text>
        <r>
          <rPr>
            <sz val="9"/>
            <color indexed="81"/>
            <rFont val="Segoe UI"/>
            <charset val="1"/>
          </rPr>
          <t>Insight iXlW00001C0000141R0279761703S00000280P02284LAocjBAQBF1NjaVRlZ2ljLmRhdGEuTW9sZWN1bGUBbQF/ARJTY2lUZWdpYy5Nb2xlY3VsZQAAAQFkAv5qAQAAAAIAAgEgGAAAAPz8APwAAgAAAAAAAPC/AvVKWYY41hLAAlH8GHPXEvG/AAAAABgAAAD8/AD8AAIAAAAAAADwvwI9LNSa5l0WwALT3uALk6nCPwAAAAAcAAAA/PwA/AACAAAAAAAA8L8CyzLEsS7uE8AC3iQGgZVD+D8AAAAAGAAAAPz8APwAAgAAAAAAAPC/AunZrPpc7QvAArYV+8vuyfo/AAAAABgAAAD8/AD8AAIAAAAAAADwvwJZF7fRAN4EwAIs9pfdk4fdPwAAAAAcAAAA/PwA/AACAAAAAAAA8L8CPgrXo3C9CcAC8BZIUPwY7b8AAAAAGAAAAPz8APwAAgAAAAAAAPC/Aq5H4XoUrgLAAtKRXP5D+gDAAAAAACAAAAD8/AD8AAIAAAAAAADwvwKTOgFNhI0HwAKMbOf7qfELwAAAAAAYAAAA/PwA/AACAAAAAAAA8L8CB/AWSFD86r8CyzLEsS5u/78AAAAAGAAAAPz8APwAAgAAAAAAAPC/AuC+DpwzosQ/AhwN4C2QoAjAAAAAABgAAAD8/AD8AAIAAAAAAADwvwKu2F92Tx52PwKdoiO5/EcSwAAAAAAYAAAA/PwA/AACAAAAAAAA8L8CwTkjSnuD8z8CBOeMKO3NFcAAAAAAGAAAAPz8APwAAgAAAAAAAPC/AmUZ4lgXtwRAAnl6pSxDXBPAAAAAABgAAAD8/AD8AAIAAAAAAADwvwJn1edqK/YFQALUvOMUHckKwAAAAAAYAAAA/PwA/AACAAAAAAAA8L8CV32utmJ/+D8CzV1LyAe9A8AAAAAAHAAAAPz8APwAAgAAAAAAAPC/Ag3gLZCg+PU/AmKh1jTvOO+/AAAAABgAAAD8/AD8AAIAAAAAAADwvwK94xQdyeUDQAKTy39Iv32dPwAAAAAYAAAA/PwA/AACAAAAAAAA8L8C24r9ZfdkAUACdLUV+8vu9z8AAAAAGAAAAPz8APwAAgAAAAAAAPC/AspUwaikTgpAAqqCUUmdAARAAAAAABgAAAD8/AD8AAIAAAAAAADwvwKxUGuad9wSQAJ3Tx4Wak0AQAAAAAAYAAAA/PwA/AACAAAAAAAA8L8CIv32deAcFEACTtGRXP5D4j8AAAAAGAAAAPz8APwAAgAAAAAAAPC/AlYwKqkTUA9AAuGcEaW9wdu/AAAAABgAAAD8/AD8AAIAAAAAAADwvwLMf0i/fR24vwKEL0ymCkblvwAAAAAgAAAA/PwA/AACAAAAAAAA8L8CNs07TtGR5r8CchsN4C2Q5j8AAAAAGAAAAPz8APwAAgAAAAAAAPC/AhFYObTIdsY/AjC7Jw8Ltf4/AAAAABgAAAD8/AD8AAIAAAAAAADwvwKsHFpkO9/bvwJWMCqpE1AKQAAAAAAYAAAA/PwA/AACAAAAAAAA8L8CyCk6kst/3D8CiWNd3EYDEkAAAAAAGAAAAPz8APwAAgAAAAAAAPC/Aq36XG3F/v4/AqRwPQrXYxFAAAAAABgAAAD8/AD8AAIAAAAAAADwvwKmLEMc62IEQAKLjuTyH9IHQAAAAAAYAAAA/PwA/AACAAAAAAAA8L8CPZtVn6ut+j8Cnu+nxks3/D8AAAAAGAAAAPz8APwAAgAAAAAAAPC/AiBj7lpCPg/AAunZrPpc7QhAAAAAABgAAAD8/AD8AAIAAAAAAADwvwIwTKYKRiUBwALT3uALk6kCQAAAAAABJAAEBAAAAAAAAAAUBAAAAAAAAAQIBAAAAAAAAAgMBAAAAAAAAAwQBAAAAAAAAAwBHgQAAAAAAAAMAR8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sBHAQAAAAAAAABHAEdCAgAAAAAAAAAAAA=</t>
        </r>
      </text>
    </comment>
    <comment ref="A142" authorId="0" shapeId="0" xr:uid="{D10E9489-8623-474E-9DE2-36A0E787CD03}">
      <text>
        <r>
          <rPr>
            <sz val="9"/>
            <color indexed="81"/>
            <rFont val="Segoe UI"/>
            <charset val="1"/>
          </rPr>
          <t>Insight iXlW00001C0000142R0279761703S00000282P02424LAocjBAQBF1NjaVRlZ2ljLmRhdGEuTW9sZWN1bGUBbQF/ARJTY2lUZWdpYy5Nb2xlY3VsZQAAAQFkAv5qAQAAAAIAAgEiGAAAAPz8APwAAgAAAAAAAPC/AgCRfvs6cP8/AkcDeAsk6BLAAAAAABgAAAD8/AD8AAIAAAAAAADwvwIVrkfhehTqPwKKH2PuWsIWwAAAAAAcAAAA/PwA/AACAAAAAAAA8L8CGLfRAN4C478CwcqhRbazFMAAAAAAGAAAAPz8APwAAgAAAAAAAPC/AndPHhZqTeu/Amiz6nO1lQ3AAAAAABgAAAD8/AD8AAIAAAAAAADwvwLpSC7/If3SPwKppE5AE+EFwAAAAAAcAAAA/PwA/AACAAAAAAAA8L8C0ETY8PRK+z8CPE7RkVz+CcAAAAAAGAAAAPz8APwAAgAAAAAAAPC/AmN/2T152AZAArYV+8vuSQLAAAAAACAAAAD8/AD8AAIAAAAAAADwvwJX7C+7Jw8RQAJJv30dOGcGwAAAAAAYAAAA/PwA/AACAAAAAAAA8L8CE4PAyqHFBEACjnVxGw3g6b8AAAAAGAAAAPz8APwAAgAAAAAAAPC/AgRWDi2yHQ1AAnNoke18P9E/AAAAABgAAAD8/AD8AAIAAAAAAADwvwLo+6nx0o0UQALJBz2bVZ/LPwAAAAAYAAAA/PwA/AACAAAAAAAA8L8CsHJoke28F0ACCRueXinL9z8AAAAAGAAAAPz8APwAAgAAAAAAAPC/ApQYBFYO7RRAAld9rrZifwZAAAAAABgAAAD8/AD8AAIAAAAAAADwvwJdj8L1KNwNQALp2az6XO0GQAAAAAAYAAAA/PwA/AACAAAAAAAA8L8Cy6FFtvN9B0ACUI2XbhKD+T8AAAAAHAAAAPz8APwAAgAAAAAAAPC/AvLSTWIQWPc/AiFB8WPMXfU/AAAAABgAAAD8/AD8AAIAAAAAAADwvwI4+MJkqmDYPwJKnYAmwgYDQAAAAAAYAAAA/PwA/AACAAAAAAAA8L8CtOpztRX78L8CTaYKRiV1/z8AAAAAGAAAAPz8APwAAgAAAAAAAPC/Asx/SL99HQHAAhgmUwWjEghAAAAAABgAAAD8/AD8AAIAAAAAAADwvwJJv30dOGf8vwJ6Nqs+V9sRQAAAAAAYAAAA/PwA/AACAAAAAAAA8L8CHVpkO99P1b8CjNtoAG+BE0AAAAAAGAAAAPz8APwAAgAAAAAAAPC/Arn8h/Tb1+c/Aibkg57Nqg5AAAAAABgAAAD8/AD8AAIAAAAAAADwvwIll/+QfvvzPwKrz9VW7C/DvwAAAAAgAAAA/PwA/AACAAAAAAAA8L8C7MA5I0p7s78C0ETY8PRK678AAAAAGAAAAPz8APwAAgAAAAAAAPC/ApDC9Shcj/W/AqjoSC7/Ia2/AAAAABgAAAD8/AD8AAIAAAAAAADwvwLiehSuR2EFwAJwXwfOGVHovwAAAAAYAAAA/PwA/AACAAAAAAAA8L8CIo51cRuND8ACXW3F/rJ7oj8AAAAAGAAAAPz8APwAAgAAAAAAAPC/ApAxdy0hHw/AAnIbDeAtkPg/AAAAABgAAAD8/AD8AAIAAAAAAADwvwL2l92Th4UEwALyQc9m1ecBQAAAAAAYAAAA/PwA/AACAAAAAAAA8L8CbAn5oGez9L8CwqikTkAT9z8AAAAAGAAAAPz8APwAAgAAAAAAAPC/At6Th4VaExXAAhB6Nqs+V+W/AAAAACQAAAD8/AD8AAIAAAAAAADwvwLHSzeJQWAawAJ7pSxDHOv1vwAAAAAkAAAA/PwA/AACAAAAAAAA8L8CF9nO91PjF8ACV+wvuycP5T8AAAAAJAAAAPz8APwAAgAAAAAAAPC/AsE5I0p7QxLAAqwcWmQ73/+/AAAAAAEmAAQEAAAAAAAAABQEAAAAAAAABAgEAAAAAAAACAwEAAAAAAAADBAEAAAAAAAAEBQEAAAAAAAAFBgEAAAAAAAAGBwIAAAAAAAAGCAEAAAAAAAAICQEAAAAAAAAIAEWCAwAAAAAACQoCAwAAAAAACQ4BAAAAAAAACgsBAAAAAAAACwwCAgAAAAAADA0BAAAAAAAADQ4CAgAAAAAADg8BAAAAAAAADwBEAQAAAAAAAA8ARYEAAAAAAAAARABEQgMAAAAAAABEAEVBAAAAAAAAAERARIEAAAAAAAAARIBEwgIAAAAAAABEwEUBAAAAAAAAAEUARUICAAAAAAAARYBFwQAAAAAAAABFwEYBAAAAAAAAAEYARkIDAAAAAAAARgBHQQAAAAAAAABGQEaBAAAAAAAAAEaARsICAAAAAAAARoBHgQAAAAAAAABGwEcBAAAAAAAAAEcAR0ICAAAAAAAAR4BHwQAAAAAAAABHgEgBAAAAAAAAAEeASEEAAAAAAAAAAAAAA==</t>
        </r>
      </text>
    </comment>
    <comment ref="A143" authorId="0" shapeId="0" xr:uid="{226B0D28-9BC4-4CE3-8562-E7A18ABE2049}">
      <text>
        <r>
          <rPr>
            <sz val="9"/>
            <color indexed="81"/>
            <rFont val="Segoe UI"/>
            <charset val="1"/>
          </rPr>
          <t>Insight iXlW00001C0000143R0279761703S00000284P02356LAocjBAQBF1NjaVRlZ2ljLmRhdGEuTW9sZWN1bGUBbQF/ARJTY2lUZWdpYy5Nb2xlY3VsZQAAAQFkAv5qAQAAAAIAAgEhGAAAAPz8APwAAgAAAAAAAPC/AqK0N/jC5BJAAusENBE2vADAAAAAABgAAAD8/AD8AAIAAAAAAADwvwJeukkMAqsSQAJ90LNZ9bkMwAAAAAAcAAAA/PwA/AACAAAAAAAA8L8CRPrt68C5CkAC0SLb+X4qEcAAAAAAGAAAAPz8APwAAgAAAAAAAPC/AlR0JJf/kABAAv0Yc9cS8gvAAAAAABgAAAD8/AD8AAIAAAAAAADwvwLcaABvgQQBQAJk7lpCPuj/vwAAAAAcAAAA/PwA/AACAAAAAAAA8L8CVOOlm8SgC0ACirDh6ZWy9L8AAAAAGAAAAPz8APwAAgAAAAAAAPC/AtzXgXNGFAxAAtc07zhFR8o/AAAAACAAAAD8/AD8AAIAAAAAAADwvwIqqRPQRFgTQALLoUW28/3sPwAAAAAYAAAA/PwA/AACAAAAAAAA8L8Cs3vysFDrAUAC5j+k374O8D8AAAAAGAAAAPz8APwAAgAAAAAAAPC/ApOpglFJHQFAAqqCUUmdAARAAAAAABgAAAD8/AD8AAIAAAAAAADwvwK3Yn/ZPXkJQALqJjEIrJwMQAAAAAAYAAAA/PwA/AACAAAAAAAA8L8CirDh6ZUyBkAChxbZzvcTFEAAAAAAGAAAAPz8APwAAgAAAAAAAPC/AgHeAgmKH/U/AnrHKTqSixVAAAAAABgAAAD8/AD8AAIAAAAAAADwvwLmriXkg57RPwJa9bnaij0RQAAAAAAYAAAA/PwA/AACAAAAAAAA8L8CCvmgZ7Pq5T8Cj+TyH9LvBkAAAAAAHAAAAPz8APwAAgAAAAAAAPC/AmTMXUvIB72/Aj29UpYhjvk/AAAAABgAAAD8/AD8AAIAAAAAAADwvwLD9Shcj8L5vwL9GHPXEvL3PwAAAAAYAAAA/PwA/AACAAAAAAAA8L8C0GbV52orAsACvJaQD3o2wz8AAAAAHAAAAPz8APwAAgAAAAAAAPC/AobJVMGoJA7AAvLSTWIQWKk/AAAAABgAAAD8/AD8AAIAAAAAAADwvwILtaZ5x2kSwAJ90LNZ9bn0PwAAAAAYAAAA/PwA/AACAAAAAAAA8L8CKX6MuWuJD8ACGJXUCWgiBUAAAAAAGAAAAPz8APwAAgAAAAAAAPC/Aqrx0k1ikAPAAjhnRGlv8AVAAAAAACAAAAD8/AD8AAIAAAAAAADwvwJKe4MvTGYYwAI9LNSa5h3zPwAAAAAYAAAA/PwA/AACAAAAAAAA8L8C4zYawFsg6z8CUI2XbhKD3D8AAAAAGAAAAPz8APwAAgAAAAAAAPC/Ap9eKcsQx94/Ar+fGi/dJPC/AAAAABgAAAD8/AD8AAIAAAAAAADwvwJFaW/whcnuvwIZBFYOLbL2vwAAAAAYAAAA/PwA/AACAAAAAAAA8L8C3SQGgZVD9b8ClkOLbOf7BsAAAAAAGAAAAPz8APwAAgAAAAAAAPC/ApQYBFYOLQbAAvvL7snDQgrAAAAAABgAAAD8/AD8AAIAAAAAAADwvwLUvOMUHckOwALYEvJBz+YBwAAAAAAYAAAA/PwA/AACAAAAAAAA8L8CtoR80LPZC8ACOUVHcvkP6b8AAAAAGAAAAPz8APwAAgAAAAAAAPC/ApF++zpwTgDAAkZHcvkP6de/AAAAACQAAAD8/AD8AAIAAAAAAADwvwJ5eqUsQxwJwAKmm8QgsPISwAAAAAAYAAAA/PwA/AACAAAAAAAA8L8CdnEbDeAt0L8CuvyH9NtXD8AAAAAAASUABAQAAAAAAAAAFAQAAAAAAAAECAQAAAAAAAAIDAQAAAAAAAAMEAQAAAAAAAAQFAQAAAAAAAAUGAQAAAAAAAAYHAgAAAAAAAAYIAQAAAAAAAAgJAQAAAAAAAAgARcIDAAAAAAAJCgIDAAAAAAAJDgEAAAAAAAAKCwEAAAAAAAALDAICAAAAAAAMDQEAAAAAAAANDgICAAAAAAAODwEAAAAAAAAPAEQBAAAAAAAADwBFwQAAAAAAAABEAERCAwAAAAAAAEQARUEAAAAAAAAAREBEgQAAAAAAAABEgETCAgAAAAAAAETARQEAAAAAAAAARMBFgQAAAAAAAABFAEVCAgAAAAAAAEXARgEAAAAAAAAARgBGQQAAAAAAAABGQEaCAwAAAAAAAEZAR4EAAAAAAAAARoBGwQAAAAAAAABGgEgBAAAAAAAAAEbARwICAAAAAAAARsBHwQAAAAAAAABHAEdBAAAAAAAAAEdAR4ICAAAAAAAAAAAAA==</t>
        </r>
      </text>
    </comment>
  </commentList>
</comments>
</file>

<file path=xl/sharedStrings.xml><?xml version="1.0" encoding="utf-8"?>
<sst xmlns="http://schemas.openxmlformats.org/spreadsheetml/2006/main" count="581" uniqueCount="160">
  <si>
    <t>CHEMISTRY</t>
  </si>
  <si>
    <t>EXTREG</t>
  </si>
  <si>
    <t>b2a3m</t>
  </si>
  <si>
    <t>ID</t>
  </si>
  <si>
    <t>RENIN_IC50</t>
  </si>
  <si>
    <t>ORIGIN</t>
  </si>
  <si>
    <t>BMCL2011A</t>
  </si>
  <si>
    <t>RENIN_PIC50</t>
  </si>
  <si>
    <t>TRAIN</t>
  </si>
  <si>
    <t>test</t>
  </si>
  <si>
    <t>TRAIN_CLASS</t>
  </si>
  <si>
    <t>b1i5c</t>
  </si>
  <si>
    <t>BMCL2010</t>
  </si>
  <si>
    <t>train</t>
  </si>
  <si>
    <t>b1i5k</t>
  </si>
  <si>
    <t>COMMENT</t>
  </si>
  <si>
    <t>XRAY 3oot, 2.55A</t>
  </si>
  <si>
    <t>b2a6d</t>
  </si>
  <si>
    <t>b2a7d</t>
  </si>
  <si>
    <t>XRAY 3sfc 2.1 A</t>
  </si>
  <si>
    <t>b2a5d</t>
  </si>
  <si>
    <t>b3a4e</t>
  </si>
  <si>
    <t>BMCL2011B</t>
  </si>
  <si>
    <t>b1i5j</t>
  </si>
  <si>
    <t>b1i5i</t>
  </si>
  <si>
    <t>b2a4a</t>
  </si>
  <si>
    <t>b1i2j</t>
  </si>
  <si>
    <t>b3a6b</t>
  </si>
  <si>
    <t>b3a4b</t>
  </si>
  <si>
    <t>b3a4a</t>
  </si>
  <si>
    <t>b1i5d</t>
  </si>
  <si>
    <t>b3f5g</t>
  </si>
  <si>
    <t>b2a5g</t>
  </si>
  <si>
    <t>b1i2n</t>
  </si>
  <si>
    <t>b3a7a</t>
  </si>
  <si>
    <t>b1i2l</t>
  </si>
  <si>
    <t>b1i5h</t>
  </si>
  <si>
    <t>b2a3t</t>
  </si>
  <si>
    <t>b2a3l</t>
  </si>
  <si>
    <t>b2a6f</t>
  </si>
  <si>
    <t>b2a5c</t>
  </si>
  <si>
    <t>b3a4d</t>
  </si>
  <si>
    <t>b1i2k</t>
  </si>
  <si>
    <t>b1i2o</t>
  </si>
  <si>
    <t>b1i4f</t>
  </si>
  <si>
    <t>b1i2e</t>
  </si>
  <si>
    <t>b2a3hr</t>
  </si>
  <si>
    <t>b1i5a</t>
  </si>
  <si>
    <t>b3a6d</t>
  </si>
  <si>
    <t>b1i5m</t>
  </si>
  <si>
    <t>b2a6b</t>
  </si>
  <si>
    <t>b1i5f</t>
  </si>
  <si>
    <t>b1i5n</t>
  </si>
  <si>
    <t>b1i4e</t>
  </si>
  <si>
    <t>b3a7b</t>
  </si>
  <si>
    <t>b1i5o</t>
  </si>
  <si>
    <t>b2a3ir</t>
  </si>
  <si>
    <t>b2a3g</t>
  </si>
  <si>
    <t>b2a4l</t>
  </si>
  <si>
    <t>b2a4c</t>
  </si>
  <si>
    <t>b2a3n</t>
  </si>
  <si>
    <t>b1i2h</t>
  </si>
  <si>
    <t>b1i2i</t>
  </si>
  <si>
    <t>b2a4m</t>
  </si>
  <si>
    <t>b1i2f</t>
  </si>
  <si>
    <t>b3a6c</t>
  </si>
  <si>
    <t>b2a3fr</t>
  </si>
  <si>
    <t>b2a5e</t>
  </si>
  <si>
    <t>b3a6h</t>
  </si>
  <si>
    <t>b2a4b</t>
  </si>
  <si>
    <t>b1i5l</t>
  </si>
  <si>
    <t>b3a3i</t>
  </si>
  <si>
    <t>b3a6f</t>
  </si>
  <si>
    <t>b3a4g</t>
  </si>
  <si>
    <t>b1a2m</t>
  </si>
  <si>
    <t>XRAY 3oqf 2.78 A</t>
  </si>
  <si>
    <t>b3a3b</t>
  </si>
  <si>
    <t>b3a6i</t>
  </si>
  <si>
    <t>b3a6g</t>
  </si>
  <si>
    <t>b3a5h</t>
  </si>
  <si>
    <t>b2a3kr</t>
  </si>
  <si>
    <t>b2a5f</t>
  </si>
  <si>
    <t>b2a6c</t>
  </si>
  <si>
    <t>b3a6e</t>
  </si>
  <si>
    <t>b2a3q</t>
  </si>
  <si>
    <t>b1i5e</t>
  </si>
  <si>
    <t>b3a5b</t>
  </si>
  <si>
    <t>b1i5g</t>
  </si>
  <si>
    <t>b2a4e</t>
  </si>
  <si>
    <t>b3a6a</t>
  </si>
  <si>
    <t>b2a4n</t>
  </si>
  <si>
    <t>b3a7d</t>
  </si>
  <si>
    <t>b3a3f</t>
  </si>
  <si>
    <t>b1i4c</t>
  </si>
  <si>
    <t>b3a5c</t>
  </si>
  <si>
    <t>b3a4i</t>
  </si>
  <si>
    <t>b2a3e</t>
  </si>
  <si>
    <t>b3a4j</t>
  </si>
  <si>
    <t>b3a3d</t>
  </si>
  <si>
    <t>b2a3s</t>
  </si>
  <si>
    <t>b2a3a</t>
  </si>
  <si>
    <t>b2a4k</t>
  </si>
  <si>
    <t>b2a4g</t>
  </si>
  <si>
    <t>b2a3d</t>
  </si>
  <si>
    <t>b2a7b</t>
  </si>
  <si>
    <t>b3a7c</t>
  </si>
  <si>
    <t>b2a3jr</t>
  </si>
  <si>
    <t>b1i4i</t>
  </si>
  <si>
    <t>b2a4d</t>
  </si>
  <si>
    <t>b3a3e</t>
  </si>
  <si>
    <t>b1i2a</t>
  </si>
  <si>
    <t>XRAY 3oqk 2.9 A</t>
  </si>
  <si>
    <t>b2a7c</t>
  </si>
  <si>
    <t>b2a4h</t>
  </si>
  <si>
    <t>b2a6a</t>
  </si>
  <si>
    <t>b3a3g</t>
  </si>
  <si>
    <t>b2a3c</t>
  </si>
  <si>
    <t>b2a7e</t>
  </si>
  <si>
    <t>b3a5f</t>
  </si>
  <si>
    <t>b2a5h</t>
  </si>
  <si>
    <t>b3a5d</t>
  </si>
  <si>
    <t>b1i2d</t>
  </si>
  <si>
    <t>b2a3br</t>
  </si>
  <si>
    <t>b2a4f</t>
  </si>
  <si>
    <t>b1i4b</t>
  </si>
  <si>
    <t>b1i4g</t>
  </si>
  <si>
    <t>b2a6e</t>
  </si>
  <si>
    <t>b1i4d</t>
  </si>
  <si>
    <t>b1i2g</t>
  </si>
  <si>
    <t>b3a5a</t>
  </si>
  <si>
    <t>b2a7a</t>
  </si>
  <si>
    <t>b2a3o</t>
  </si>
  <si>
    <t>b2a3p</t>
  </si>
  <si>
    <t>b3a7g</t>
  </si>
  <si>
    <t>b2a4i</t>
  </si>
  <si>
    <t>b3a4f</t>
  </si>
  <si>
    <t>b1i5b</t>
  </si>
  <si>
    <t>b2a3r</t>
  </si>
  <si>
    <t>b1i3d</t>
  </si>
  <si>
    <t>b2a5i</t>
  </si>
  <si>
    <t>b3a3a</t>
  </si>
  <si>
    <t>b3a4h</t>
  </si>
  <si>
    <t>b2a4j</t>
  </si>
  <si>
    <t>b1i2b</t>
  </si>
  <si>
    <t>b3a7f</t>
  </si>
  <si>
    <t>b3a5e</t>
  </si>
  <si>
    <t>b1i3e</t>
  </si>
  <si>
    <t>b1i1</t>
  </si>
  <si>
    <t>b3a7e</t>
  </si>
  <si>
    <t>b1i3c</t>
  </si>
  <si>
    <t>b3a4c</t>
  </si>
  <si>
    <t>b1i4a</t>
  </si>
  <si>
    <t>b2a5b</t>
  </si>
  <si>
    <t>b3a3c</t>
  </si>
  <si>
    <t>b3a3h</t>
  </si>
  <si>
    <t>b1i3a</t>
  </si>
  <si>
    <t>b2a5a</t>
  </si>
  <si>
    <t>b1i3b</t>
  </si>
  <si>
    <t>b1i2c</t>
  </si>
  <si>
    <t>b1i4h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</si>
</sst>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/>
    <xf numFmtId="0" fontId="1" fillId="2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tmp"/><Relationship Id="rId21" Type="http://schemas.openxmlformats.org/officeDocument/2006/relationships/image" Target="../media/image21.tmp"/><Relationship Id="rId42" Type="http://schemas.openxmlformats.org/officeDocument/2006/relationships/image" Target="../media/image42.tmp"/><Relationship Id="rId63" Type="http://schemas.openxmlformats.org/officeDocument/2006/relationships/image" Target="../media/image63.tmp"/><Relationship Id="rId84" Type="http://schemas.openxmlformats.org/officeDocument/2006/relationships/image" Target="../media/image84.tmp"/><Relationship Id="rId138" Type="http://schemas.openxmlformats.org/officeDocument/2006/relationships/image" Target="../media/image138.tmp"/><Relationship Id="rId107" Type="http://schemas.openxmlformats.org/officeDocument/2006/relationships/image" Target="../media/image107.tmp"/><Relationship Id="rId11" Type="http://schemas.openxmlformats.org/officeDocument/2006/relationships/image" Target="../media/image11.tmp"/><Relationship Id="rId32" Type="http://schemas.openxmlformats.org/officeDocument/2006/relationships/image" Target="../media/image32.tmp"/><Relationship Id="rId37" Type="http://schemas.openxmlformats.org/officeDocument/2006/relationships/image" Target="../media/image37.tmp"/><Relationship Id="rId53" Type="http://schemas.openxmlformats.org/officeDocument/2006/relationships/image" Target="../media/image53.tmp"/><Relationship Id="rId58" Type="http://schemas.openxmlformats.org/officeDocument/2006/relationships/image" Target="../media/image58.tmp"/><Relationship Id="rId74" Type="http://schemas.openxmlformats.org/officeDocument/2006/relationships/image" Target="../media/image74.tmp"/><Relationship Id="rId79" Type="http://schemas.openxmlformats.org/officeDocument/2006/relationships/image" Target="../media/image79.tmp"/><Relationship Id="rId102" Type="http://schemas.openxmlformats.org/officeDocument/2006/relationships/image" Target="../media/image102.tmp"/><Relationship Id="rId123" Type="http://schemas.openxmlformats.org/officeDocument/2006/relationships/image" Target="../media/image123.tmp"/><Relationship Id="rId128" Type="http://schemas.openxmlformats.org/officeDocument/2006/relationships/image" Target="../media/image128.tmp"/><Relationship Id="rId5" Type="http://schemas.openxmlformats.org/officeDocument/2006/relationships/image" Target="../media/image5.tmp"/><Relationship Id="rId90" Type="http://schemas.openxmlformats.org/officeDocument/2006/relationships/image" Target="../media/image90.tmp"/><Relationship Id="rId95" Type="http://schemas.openxmlformats.org/officeDocument/2006/relationships/image" Target="../media/image95.tmp"/><Relationship Id="rId22" Type="http://schemas.openxmlformats.org/officeDocument/2006/relationships/image" Target="../media/image22.tmp"/><Relationship Id="rId27" Type="http://schemas.openxmlformats.org/officeDocument/2006/relationships/image" Target="../media/image27.tmp"/><Relationship Id="rId43" Type="http://schemas.openxmlformats.org/officeDocument/2006/relationships/image" Target="../media/image43.tmp"/><Relationship Id="rId48" Type="http://schemas.openxmlformats.org/officeDocument/2006/relationships/image" Target="../media/image48.tmp"/><Relationship Id="rId64" Type="http://schemas.openxmlformats.org/officeDocument/2006/relationships/image" Target="../media/image64.tmp"/><Relationship Id="rId69" Type="http://schemas.openxmlformats.org/officeDocument/2006/relationships/image" Target="../media/image69.tmp"/><Relationship Id="rId113" Type="http://schemas.openxmlformats.org/officeDocument/2006/relationships/image" Target="../media/image113.tmp"/><Relationship Id="rId118" Type="http://schemas.openxmlformats.org/officeDocument/2006/relationships/image" Target="../media/image118.tmp"/><Relationship Id="rId134" Type="http://schemas.openxmlformats.org/officeDocument/2006/relationships/image" Target="../media/image134.tmp"/><Relationship Id="rId139" Type="http://schemas.openxmlformats.org/officeDocument/2006/relationships/image" Target="../media/image139.tmp"/><Relationship Id="rId80" Type="http://schemas.openxmlformats.org/officeDocument/2006/relationships/image" Target="../media/image80.tmp"/><Relationship Id="rId85" Type="http://schemas.openxmlformats.org/officeDocument/2006/relationships/image" Target="../media/image85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33" Type="http://schemas.openxmlformats.org/officeDocument/2006/relationships/image" Target="../media/image33.tmp"/><Relationship Id="rId38" Type="http://schemas.openxmlformats.org/officeDocument/2006/relationships/image" Target="../media/image38.tmp"/><Relationship Id="rId59" Type="http://schemas.openxmlformats.org/officeDocument/2006/relationships/image" Target="../media/image59.tmp"/><Relationship Id="rId103" Type="http://schemas.openxmlformats.org/officeDocument/2006/relationships/image" Target="../media/image103.tmp"/><Relationship Id="rId108" Type="http://schemas.openxmlformats.org/officeDocument/2006/relationships/image" Target="../media/image108.tmp"/><Relationship Id="rId124" Type="http://schemas.openxmlformats.org/officeDocument/2006/relationships/image" Target="../media/image124.tmp"/><Relationship Id="rId129" Type="http://schemas.openxmlformats.org/officeDocument/2006/relationships/image" Target="../media/image129.tmp"/><Relationship Id="rId54" Type="http://schemas.openxmlformats.org/officeDocument/2006/relationships/image" Target="../media/image54.tmp"/><Relationship Id="rId70" Type="http://schemas.openxmlformats.org/officeDocument/2006/relationships/image" Target="../media/image70.tmp"/><Relationship Id="rId75" Type="http://schemas.openxmlformats.org/officeDocument/2006/relationships/image" Target="../media/image75.tmp"/><Relationship Id="rId91" Type="http://schemas.openxmlformats.org/officeDocument/2006/relationships/image" Target="../media/image91.tmp"/><Relationship Id="rId96" Type="http://schemas.openxmlformats.org/officeDocument/2006/relationships/image" Target="../media/image96.tmp"/><Relationship Id="rId140" Type="http://schemas.openxmlformats.org/officeDocument/2006/relationships/image" Target="../media/image14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23" Type="http://schemas.openxmlformats.org/officeDocument/2006/relationships/image" Target="../media/image23.tmp"/><Relationship Id="rId28" Type="http://schemas.openxmlformats.org/officeDocument/2006/relationships/image" Target="../media/image28.tmp"/><Relationship Id="rId49" Type="http://schemas.openxmlformats.org/officeDocument/2006/relationships/image" Target="../media/image49.tmp"/><Relationship Id="rId114" Type="http://schemas.openxmlformats.org/officeDocument/2006/relationships/image" Target="../media/image114.tmp"/><Relationship Id="rId119" Type="http://schemas.openxmlformats.org/officeDocument/2006/relationships/image" Target="../media/image119.tmp"/><Relationship Id="rId44" Type="http://schemas.openxmlformats.org/officeDocument/2006/relationships/image" Target="../media/image44.tmp"/><Relationship Id="rId60" Type="http://schemas.openxmlformats.org/officeDocument/2006/relationships/image" Target="../media/image60.tmp"/><Relationship Id="rId65" Type="http://schemas.openxmlformats.org/officeDocument/2006/relationships/image" Target="../media/image65.tmp"/><Relationship Id="rId81" Type="http://schemas.openxmlformats.org/officeDocument/2006/relationships/image" Target="../media/image81.tmp"/><Relationship Id="rId86" Type="http://schemas.openxmlformats.org/officeDocument/2006/relationships/image" Target="../media/image86.tmp"/><Relationship Id="rId130" Type="http://schemas.openxmlformats.org/officeDocument/2006/relationships/image" Target="../media/image130.tmp"/><Relationship Id="rId135" Type="http://schemas.openxmlformats.org/officeDocument/2006/relationships/image" Target="../media/image135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9" Type="http://schemas.openxmlformats.org/officeDocument/2006/relationships/image" Target="../media/image39.tmp"/><Relationship Id="rId109" Type="http://schemas.openxmlformats.org/officeDocument/2006/relationships/image" Target="../media/image109.tmp"/><Relationship Id="rId34" Type="http://schemas.openxmlformats.org/officeDocument/2006/relationships/image" Target="../media/image34.tmp"/><Relationship Id="rId50" Type="http://schemas.openxmlformats.org/officeDocument/2006/relationships/image" Target="../media/image50.tmp"/><Relationship Id="rId55" Type="http://schemas.openxmlformats.org/officeDocument/2006/relationships/image" Target="../media/image55.tmp"/><Relationship Id="rId76" Type="http://schemas.openxmlformats.org/officeDocument/2006/relationships/image" Target="../media/image76.tmp"/><Relationship Id="rId97" Type="http://schemas.openxmlformats.org/officeDocument/2006/relationships/image" Target="../media/image97.tmp"/><Relationship Id="rId104" Type="http://schemas.openxmlformats.org/officeDocument/2006/relationships/image" Target="../media/image104.tmp"/><Relationship Id="rId120" Type="http://schemas.openxmlformats.org/officeDocument/2006/relationships/image" Target="../media/image120.tmp"/><Relationship Id="rId125" Type="http://schemas.openxmlformats.org/officeDocument/2006/relationships/image" Target="../media/image125.tmp"/><Relationship Id="rId141" Type="http://schemas.openxmlformats.org/officeDocument/2006/relationships/image" Target="../media/image141.tmp"/><Relationship Id="rId7" Type="http://schemas.openxmlformats.org/officeDocument/2006/relationships/image" Target="../media/image7.tmp"/><Relationship Id="rId71" Type="http://schemas.openxmlformats.org/officeDocument/2006/relationships/image" Target="../media/image71.tmp"/><Relationship Id="rId92" Type="http://schemas.openxmlformats.org/officeDocument/2006/relationships/image" Target="../media/image92.tmp"/><Relationship Id="rId2" Type="http://schemas.openxmlformats.org/officeDocument/2006/relationships/image" Target="../media/image2.tmp"/><Relationship Id="rId29" Type="http://schemas.openxmlformats.org/officeDocument/2006/relationships/image" Target="../media/image29.tmp"/><Relationship Id="rId24" Type="http://schemas.openxmlformats.org/officeDocument/2006/relationships/image" Target="../media/image24.tmp"/><Relationship Id="rId40" Type="http://schemas.openxmlformats.org/officeDocument/2006/relationships/image" Target="../media/image40.tmp"/><Relationship Id="rId45" Type="http://schemas.openxmlformats.org/officeDocument/2006/relationships/image" Target="../media/image45.tmp"/><Relationship Id="rId66" Type="http://schemas.openxmlformats.org/officeDocument/2006/relationships/image" Target="../media/image66.tmp"/><Relationship Id="rId87" Type="http://schemas.openxmlformats.org/officeDocument/2006/relationships/image" Target="../media/image87.tmp"/><Relationship Id="rId110" Type="http://schemas.openxmlformats.org/officeDocument/2006/relationships/image" Target="../media/image110.tmp"/><Relationship Id="rId115" Type="http://schemas.openxmlformats.org/officeDocument/2006/relationships/image" Target="../media/image115.tmp"/><Relationship Id="rId131" Type="http://schemas.openxmlformats.org/officeDocument/2006/relationships/image" Target="../media/image131.tmp"/><Relationship Id="rId136" Type="http://schemas.openxmlformats.org/officeDocument/2006/relationships/image" Target="../media/image136.tmp"/><Relationship Id="rId61" Type="http://schemas.openxmlformats.org/officeDocument/2006/relationships/image" Target="../media/image61.tmp"/><Relationship Id="rId82" Type="http://schemas.openxmlformats.org/officeDocument/2006/relationships/image" Target="../media/image82.tmp"/><Relationship Id="rId19" Type="http://schemas.openxmlformats.org/officeDocument/2006/relationships/image" Target="../media/image19.tmp"/><Relationship Id="rId14" Type="http://schemas.openxmlformats.org/officeDocument/2006/relationships/image" Target="../media/image14.tmp"/><Relationship Id="rId30" Type="http://schemas.openxmlformats.org/officeDocument/2006/relationships/image" Target="../media/image30.tmp"/><Relationship Id="rId35" Type="http://schemas.openxmlformats.org/officeDocument/2006/relationships/image" Target="../media/image35.tmp"/><Relationship Id="rId56" Type="http://schemas.openxmlformats.org/officeDocument/2006/relationships/image" Target="../media/image56.tmp"/><Relationship Id="rId77" Type="http://schemas.openxmlformats.org/officeDocument/2006/relationships/image" Target="../media/image77.tmp"/><Relationship Id="rId100" Type="http://schemas.openxmlformats.org/officeDocument/2006/relationships/image" Target="../media/image100.tmp"/><Relationship Id="rId105" Type="http://schemas.openxmlformats.org/officeDocument/2006/relationships/image" Target="../media/image105.tmp"/><Relationship Id="rId126" Type="http://schemas.openxmlformats.org/officeDocument/2006/relationships/image" Target="../media/image126.tmp"/><Relationship Id="rId8" Type="http://schemas.openxmlformats.org/officeDocument/2006/relationships/image" Target="../media/image8.tmp"/><Relationship Id="rId51" Type="http://schemas.openxmlformats.org/officeDocument/2006/relationships/image" Target="../media/image51.tmp"/><Relationship Id="rId72" Type="http://schemas.openxmlformats.org/officeDocument/2006/relationships/image" Target="../media/image72.tmp"/><Relationship Id="rId93" Type="http://schemas.openxmlformats.org/officeDocument/2006/relationships/image" Target="../media/image93.tmp"/><Relationship Id="rId98" Type="http://schemas.openxmlformats.org/officeDocument/2006/relationships/image" Target="../media/image98.tmp"/><Relationship Id="rId121" Type="http://schemas.openxmlformats.org/officeDocument/2006/relationships/image" Target="../media/image121.tmp"/><Relationship Id="rId142" Type="http://schemas.openxmlformats.org/officeDocument/2006/relationships/image" Target="../media/image142.tmp"/><Relationship Id="rId3" Type="http://schemas.openxmlformats.org/officeDocument/2006/relationships/image" Target="../media/image3.tmp"/><Relationship Id="rId25" Type="http://schemas.openxmlformats.org/officeDocument/2006/relationships/image" Target="../media/image25.tmp"/><Relationship Id="rId46" Type="http://schemas.openxmlformats.org/officeDocument/2006/relationships/image" Target="../media/image46.tmp"/><Relationship Id="rId67" Type="http://schemas.openxmlformats.org/officeDocument/2006/relationships/image" Target="../media/image67.tmp"/><Relationship Id="rId116" Type="http://schemas.openxmlformats.org/officeDocument/2006/relationships/image" Target="../media/image116.tmp"/><Relationship Id="rId137" Type="http://schemas.openxmlformats.org/officeDocument/2006/relationships/image" Target="../media/image137.tmp"/><Relationship Id="rId20" Type="http://schemas.openxmlformats.org/officeDocument/2006/relationships/image" Target="../media/image20.tmp"/><Relationship Id="rId41" Type="http://schemas.openxmlformats.org/officeDocument/2006/relationships/image" Target="../media/image41.tmp"/><Relationship Id="rId62" Type="http://schemas.openxmlformats.org/officeDocument/2006/relationships/image" Target="../media/image62.tmp"/><Relationship Id="rId83" Type="http://schemas.openxmlformats.org/officeDocument/2006/relationships/image" Target="../media/image83.tmp"/><Relationship Id="rId88" Type="http://schemas.openxmlformats.org/officeDocument/2006/relationships/image" Target="../media/image88.tmp"/><Relationship Id="rId111" Type="http://schemas.openxmlformats.org/officeDocument/2006/relationships/image" Target="../media/image111.tmp"/><Relationship Id="rId132" Type="http://schemas.openxmlformats.org/officeDocument/2006/relationships/image" Target="../media/image132.tmp"/><Relationship Id="rId15" Type="http://schemas.openxmlformats.org/officeDocument/2006/relationships/image" Target="../media/image15.tmp"/><Relationship Id="rId36" Type="http://schemas.openxmlformats.org/officeDocument/2006/relationships/image" Target="../media/image36.tmp"/><Relationship Id="rId57" Type="http://schemas.openxmlformats.org/officeDocument/2006/relationships/image" Target="../media/image57.tmp"/><Relationship Id="rId106" Type="http://schemas.openxmlformats.org/officeDocument/2006/relationships/image" Target="../media/image106.tmp"/><Relationship Id="rId127" Type="http://schemas.openxmlformats.org/officeDocument/2006/relationships/image" Target="../media/image127.tmp"/><Relationship Id="rId10" Type="http://schemas.openxmlformats.org/officeDocument/2006/relationships/image" Target="../media/image10.tmp"/><Relationship Id="rId31" Type="http://schemas.openxmlformats.org/officeDocument/2006/relationships/image" Target="../media/image31.tmp"/><Relationship Id="rId52" Type="http://schemas.openxmlformats.org/officeDocument/2006/relationships/image" Target="../media/image52.tmp"/><Relationship Id="rId73" Type="http://schemas.openxmlformats.org/officeDocument/2006/relationships/image" Target="../media/image73.tmp"/><Relationship Id="rId78" Type="http://schemas.openxmlformats.org/officeDocument/2006/relationships/image" Target="../media/image78.tmp"/><Relationship Id="rId94" Type="http://schemas.openxmlformats.org/officeDocument/2006/relationships/image" Target="../media/image94.tmp"/><Relationship Id="rId99" Type="http://schemas.openxmlformats.org/officeDocument/2006/relationships/image" Target="../media/image99.tmp"/><Relationship Id="rId101" Type="http://schemas.openxmlformats.org/officeDocument/2006/relationships/image" Target="../media/image101.tmp"/><Relationship Id="rId122" Type="http://schemas.openxmlformats.org/officeDocument/2006/relationships/image" Target="../media/image122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26" Type="http://schemas.openxmlformats.org/officeDocument/2006/relationships/image" Target="../media/image26.tmp"/><Relationship Id="rId47" Type="http://schemas.openxmlformats.org/officeDocument/2006/relationships/image" Target="../media/image47.tmp"/><Relationship Id="rId68" Type="http://schemas.openxmlformats.org/officeDocument/2006/relationships/image" Target="../media/image68.tmp"/><Relationship Id="rId89" Type="http://schemas.openxmlformats.org/officeDocument/2006/relationships/image" Target="../media/image89.tmp"/><Relationship Id="rId112" Type="http://schemas.openxmlformats.org/officeDocument/2006/relationships/image" Target="../media/image112.tmp"/><Relationship Id="rId133" Type="http://schemas.openxmlformats.org/officeDocument/2006/relationships/image" Target="../media/image133.tmp"/><Relationship Id="rId16" Type="http://schemas.openxmlformats.org/officeDocument/2006/relationships/image" Target="../media/image1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688181</xdr:colOff>
      <xdr:row>1</xdr:row>
      <xdr:rowOff>60722</xdr:rowOff>
    </xdr:from>
    <xdr:to>
      <xdr:col>0</xdr:col>
      <xdr:colOff>1788319</xdr:colOff>
      <xdr:row>1</xdr:row>
      <xdr:rowOff>1282303</xdr:rowOff>
    </xdr:to>
    <xdr:pic>
      <xdr:nvPicPr>
        <xdr:cNvPr id="3" name="Picture 2" descr="Insight Picture 2">
          <a:extLst>
            <a:ext uri="{FF2B5EF4-FFF2-40B4-BE49-F238E27FC236}">
              <a16:creationId xmlns:a16="http://schemas.microsoft.com/office/drawing/2014/main" id="{39657991-9725-4C74-B332-C22F7F65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181" y="441722"/>
          <a:ext cx="11001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627460</xdr:colOff>
      <xdr:row>2</xdr:row>
      <xdr:rowOff>60722</xdr:rowOff>
    </xdr:from>
    <xdr:to>
      <xdr:col>0</xdr:col>
      <xdr:colOff>1849041</xdr:colOff>
      <xdr:row>2</xdr:row>
      <xdr:rowOff>1282303</xdr:rowOff>
    </xdr:to>
    <xdr:pic>
      <xdr:nvPicPr>
        <xdr:cNvPr id="5" name="Picture 4" descr="Insight Picture 4">
          <a:extLst>
            <a:ext uri="{FF2B5EF4-FFF2-40B4-BE49-F238E27FC236}">
              <a16:creationId xmlns:a16="http://schemas.microsoft.com/office/drawing/2014/main" id="{EF180542-E95D-4C8A-B3B5-32566A0F3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460" y="1784747"/>
          <a:ext cx="122158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3</xdr:row>
      <xdr:rowOff>60722</xdr:rowOff>
    </xdr:from>
    <xdr:to>
      <xdr:col>0</xdr:col>
      <xdr:colOff>1981200</xdr:colOff>
      <xdr:row>3</xdr:row>
      <xdr:rowOff>1282303</xdr:rowOff>
    </xdr:to>
    <xdr:pic>
      <xdr:nvPicPr>
        <xdr:cNvPr id="7" name="Picture 6" descr="Insight Picture 6">
          <a:extLst>
            <a:ext uri="{FF2B5EF4-FFF2-40B4-BE49-F238E27FC236}">
              <a16:creationId xmlns:a16="http://schemas.microsoft.com/office/drawing/2014/main" id="{E75A0365-5DF6-4E4A-838B-1BA95819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3127772"/>
          <a:ext cx="148590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706040</xdr:colOff>
      <xdr:row>4</xdr:row>
      <xdr:rowOff>60722</xdr:rowOff>
    </xdr:from>
    <xdr:to>
      <xdr:col>0</xdr:col>
      <xdr:colOff>1770459</xdr:colOff>
      <xdr:row>4</xdr:row>
      <xdr:rowOff>1282303</xdr:rowOff>
    </xdr:to>
    <xdr:pic>
      <xdr:nvPicPr>
        <xdr:cNvPr id="9" name="Picture 8" descr="Insight Picture 8">
          <a:extLst>
            <a:ext uri="{FF2B5EF4-FFF2-40B4-BE49-F238E27FC236}">
              <a16:creationId xmlns:a16="http://schemas.microsoft.com/office/drawing/2014/main" id="{EDFB16D3-AED5-4C5E-98FC-A7E01855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040" y="4470797"/>
          <a:ext cx="10644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348853</xdr:colOff>
      <xdr:row>5</xdr:row>
      <xdr:rowOff>59531</xdr:rowOff>
    </xdr:from>
    <xdr:to>
      <xdr:col>0</xdr:col>
      <xdr:colOff>2127647</xdr:colOff>
      <xdr:row>5</xdr:row>
      <xdr:rowOff>1273969</xdr:rowOff>
    </xdr:to>
    <xdr:pic>
      <xdr:nvPicPr>
        <xdr:cNvPr id="11" name="Picture 10" descr="Insight Picture 10">
          <a:extLst>
            <a:ext uri="{FF2B5EF4-FFF2-40B4-BE49-F238E27FC236}">
              <a16:creationId xmlns:a16="http://schemas.microsoft.com/office/drawing/2014/main" id="{C1EC8563-C70B-430B-94EA-EF1627F0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853" y="5812631"/>
          <a:ext cx="1778794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491728</xdr:colOff>
      <xdr:row>6</xdr:row>
      <xdr:rowOff>60722</xdr:rowOff>
    </xdr:from>
    <xdr:to>
      <xdr:col>0</xdr:col>
      <xdr:colOff>1984772</xdr:colOff>
      <xdr:row>6</xdr:row>
      <xdr:rowOff>1282303</xdr:rowOff>
    </xdr:to>
    <xdr:pic>
      <xdr:nvPicPr>
        <xdr:cNvPr id="13" name="Picture 12" descr="Insight Picture 12">
          <a:extLst>
            <a:ext uri="{FF2B5EF4-FFF2-40B4-BE49-F238E27FC236}">
              <a16:creationId xmlns:a16="http://schemas.microsoft.com/office/drawing/2014/main" id="{35BCC0BA-7556-49B2-ABF1-9A9CBB69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8" y="7147322"/>
          <a:ext cx="149304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7</xdr:row>
      <xdr:rowOff>60722</xdr:rowOff>
    </xdr:from>
    <xdr:to>
      <xdr:col>0</xdr:col>
      <xdr:colOff>1981200</xdr:colOff>
      <xdr:row>7</xdr:row>
      <xdr:rowOff>1282303</xdr:rowOff>
    </xdr:to>
    <xdr:pic>
      <xdr:nvPicPr>
        <xdr:cNvPr id="15" name="Picture 14" descr="Insight Picture 14">
          <a:extLst>
            <a:ext uri="{FF2B5EF4-FFF2-40B4-BE49-F238E27FC236}">
              <a16:creationId xmlns:a16="http://schemas.microsoft.com/office/drawing/2014/main" id="{F4CB2191-341F-4DAC-901A-6B81CB45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8490347"/>
          <a:ext cx="148590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8</xdr:row>
      <xdr:rowOff>59531</xdr:rowOff>
    </xdr:from>
    <xdr:to>
      <xdr:col>0</xdr:col>
      <xdr:colOff>1981200</xdr:colOff>
      <xdr:row>8</xdr:row>
      <xdr:rowOff>1273969</xdr:rowOff>
    </xdr:to>
    <xdr:pic>
      <xdr:nvPicPr>
        <xdr:cNvPr id="17" name="Picture 16" descr="Insight Picture 16">
          <a:extLst>
            <a:ext uri="{FF2B5EF4-FFF2-40B4-BE49-F238E27FC236}">
              <a16:creationId xmlns:a16="http://schemas.microsoft.com/office/drawing/2014/main" id="{05EC6DC2-14CF-4E54-A039-E9C96E5AD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9832181"/>
          <a:ext cx="1485900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502444</xdr:colOff>
      <xdr:row>9</xdr:row>
      <xdr:rowOff>60722</xdr:rowOff>
    </xdr:from>
    <xdr:to>
      <xdr:col>0</xdr:col>
      <xdr:colOff>1974057</xdr:colOff>
      <xdr:row>9</xdr:row>
      <xdr:rowOff>1282303</xdr:rowOff>
    </xdr:to>
    <xdr:pic>
      <xdr:nvPicPr>
        <xdr:cNvPr id="19" name="Picture 18" descr="Insight Picture 18">
          <a:extLst>
            <a:ext uri="{FF2B5EF4-FFF2-40B4-BE49-F238E27FC236}">
              <a16:creationId xmlns:a16="http://schemas.microsoft.com/office/drawing/2014/main" id="{B279E314-A8AD-4363-85D1-95DAF1C2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44" y="11166872"/>
          <a:ext cx="14716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10</xdr:row>
      <xdr:rowOff>60722</xdr:rowOff>
    </xdr:from>
    <xdr:to>
      <xdr:col>0</xdr:col>
      <xdr:colOff>1852613</xdr:colOff>
      <xdr:row>10</xdr:row>
      <xdr:rowOff>1282303</xdr:rowOff>
    </xdr:to>
    <xdr:pic>
      <xdr:nvPicPr>
        <xdr:cNvPr id="21" name="Picture 20" descr="Insight Picture 20">
          <a:extLst>
            <a:ext uri="{FF2B5EF4-FFF2-40B4-BE49-F238E27FC236}">
              <a16:creationId xmlns:a16="http://schemas.microsoft.com/office/drawing/2014/main" id="{F8B0E839-7816-4249-842F-552F30D9E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2509897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11</xdr:row>
      <xdr:rowOff>60722</xdr:rowOff>
    </xdr:from>
    <xdr:to>
      <xdr:col>0</xdr:col>
      <xdr:colOff>1845469</xdr:colOff>
      <xdr:row>11</xdr:row>
      <xdr:rowOff>1282303</xdr:rowOff>
    </xdr:to>
    <xdr:pic>
      <xdr:nvPicPr>
        <xdr:cNvPr id="23" name="Picture 22" descr="Insight Picture 22">
          <a:extLst>
            <a:ext uri="{FF2B5EF4-FFF2-40B4-BE49-F238E27FC236}">
              <a16:creationId xmlns:a16="http://schemas.microsoft.com/office/drawing/2014/main" id="{43EB1212-546A-4C07-97DF-C77EDD54D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13852922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463153</xdr:colOff>
      <xdr:row>12</xdr:row>
      <xdr:rowOff>60722</xdr:rowOff>
    </xdr:from>
    <xdr:to>
      <xdr:col>0</xdr:col>
      <xdr:colOff>2013347</xdr:colOff>
      <xdr:row>12</xdr:row>
      <xdr:rowOff>1282303</xdr:rowOff>
    </xdr:to>
    <xdr:pic>
      <xdr:nvPicPr>
        <xdr:cNvPr id="25" name="Picture 24" descr="Insight Picture 24">
          <a:extLst>
            <a:ext uri="{FF2B5EF4-FFF2-40B4-BE49-F238E27FC236}">
              <a16:creationId xmlns:a16="http://schemas.microsoft.com/office/drawing/2014/main" id="{A5C15B85-3EE5-461B-AC66-F0CE368D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" y="15195947"/>
          <a:ext cx="15501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13</xdr:row>
      <xdr:rowOff>59531</xdr:rowOff>
    </xdr:from>
    <xdr:to>
      <xdr:col>0</xdr:col>
      <xdr:colOff>1981200</xdr:colOff>
      <xdr:row>13</xdr:row>
      <xdr:rowOff>1273969</xdr:rowOff>
    </xdr:to>
    <xdr:pic>
      <xdr:nvPicPr>
        <xdr:cNvPr id="27" name="Picture 26" descr="Insight Picture 26">
          <a:extLst>
            <a:ext uri="{FF2B5EF4-FFF2-40B4-BE49-F238E27FC236}">
              <a16:creationId xmlns:a16="http://schemas.microsoft.com/office/drawing/2014/main" id="{FF1CB12C-92CB-49C1-B527-EF328C53F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6537781"/>
          <a:ext cx="1485900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627460</xdr:colOff>
      <xdr:row>14</xdr:row>
      <xdr:rowOff>60722</xdr:rowOff>
    </xdr:from>
    <xdr:to>
      <xdr:col>0</xdr:col>
      <xdr:colOff>1849041</xdr:colOff>
      <xdr:row>14</xdr:row>
      <xdr:rowOff>1282303</xdr:rowOff>
    </xdr:to>
    <xdr:pic>
      <xdr:nvPicPr>
        <xdr:cNvPr id="29" name="Picture 28" descr="Insight Picture 28">
          <a:extLst>
            <a:ext uri="{FF2B5EF4-FFF2-40B4-BE49-F238E27FC236}">
              <a16:creationId xmlns:a16="http://schemas.microsoft.com/office/drawing/2014/main" id="{A301CD2B-31DB-4F8B-A48A-E43E5580D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460" y="17872472"/>
          <a:ext cx="122158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527447</xdr:colOff>
      <xdr:row>15</xdr:row>
      <xdr:rowOff>61913</xdr:rowOff>
    </xdr:from>
    <xdr:to>
      <xdr:col>0</xdr:col>
      <xdr:colOff>1949053</xdr:colOff>
      <xdr:row>15</xdr:row>
      <xdr:rowOff>1290638</xdr:rowOff>
    </xdr:to>
    <xdr:pic>
      <xdr:nvPicPr>
        <xdr:cNvPr id="31" name="Picture 30" descr="Insight Picture 30">
          <a:extLst>
            <a:ext uri="{FF2B5EF4-FFF2-40B4-BE49-F238E27FC236}">
              <a16:creationId xmlns:a16="http://schemas.microsoft.com/office/drawing/2014/main" id="{6A399A3C-C085-4EE3-88EC-02B0D1EF6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447" y="19216688"/>
          <a:ext cx="1421606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16</xdr:row>
      <xdr:rowOff>60722</xdr:rowOff>
    </xdr:from>
    <xdr:to>
      <xdr:col>0</xdr:col>
      <xdr:colOff>1820466</xdr:colOff>
      <xdr:row>16</xdr:row>
      <xdr:rowOff>1282303</xdr:rowOff>
    </xdr:to>
    <xdr:pic>
      <xdr:nvPicPr>
        <xdr:cNvPr id="33" name="Picture 32" descr="Insight Picture 32">
          <a:extLst>
            <a:ext uri="{FF2B5EF4-FFF2-40B4-BE49-F238E27FC236}">
              <a16:creationId xmlns:a16="http://schemas.microsoft.com/office/drawing/2014/main" id="{DDFCBB81-2287-4899-B708-385A90D2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2056804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541735</xdr:colOff>
      <xdr:row>17</xdr:row>
      <xdr:rowOff>60722</xdr:rowOff>
    </xdr:from>
    <xdr:to>
      <xdr:col>0</xdr:col>
      <xdr:colOff>1934766</xdr:colOff>
      <xdr:row>17</xdr:row>
      <xdr:rowOff>1282303</xdr:rowOff>
    </xdr:to>
    <xdr:pic>
      <xdr:nvPicPr>
        <xdr:cNvPr id="35" name="Picture 34" descr="Insight Picture 34">
          <a:extLst>
            <a:ext uri="{FF2B5EF4-FFF2-40B4-BE49-F238E27FC236}">
              <a16:creationId xmlns:a16="http://schemas.microsoft.com/office/drawing/2014/main" id="{2A9EB979-7CA3-431A-A177-936976948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735" y="21911072"/>
          <a:ext cx="13930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18</xdr:row>
      <xdr:rowOff>60722</xdr:rowOff>
    </xdr:from>
    <xdr:to>
      <xdr:col>0</xdr:col>
      <xdr:colOff>1820466</xdr:colOff>
      <xdr:row>18</xdr:row>
      <xdr:rowOff>1282303</xdr:rowOff>
    </xdr:to>
    <xdr:pic>
      <xdr:nvPicPr>
        <xdr:cNvPr id="37" name="Picture 36" descr="Insight Picture 36">
          <a:extLst>
            <a:ext uri="{FF2B5EF4-FFF2-40B4-BE49-F238E27FC236}">
              <a16:creationId xmlns:a16="http://schemas.microsoft.com/office/drawing/2014/main" id="{27E3DB6E-1167-456A-ACC2-F8FBC7A5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2325409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509588</xdr:colOff>
      <xdr:row>19</xdr:row>
      <xdr:rowOff>60722</xdr:rowOff>
    </xdr:from>
    <xdr:to>
      <xdr:col>0</xdr:col>
      <xdr:colOff>1966913</xdr:colOff>
      <xdr:row>19</xdr:row>
      <xdr:rowOff>1282303</xdr:rowOff>
    </xdr:to>
    <xdr:pic>
      <xdr:nvPicPr>
        <xdr:cNvPr id="39" name="Picture 38" descr="Insight Picture 38">
          <a:extLst>
            <a:ext uri="{FF2B5EF4-FFF2-40B4-BE49-F238E27FC236}">
              <a16:creationId xmlns:a16="http://schemas.microsoft.com/office/drawing/2014/main" id="{364AFE3F-5309-43D5-A181-E5B607245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8" y="24597122"/>
          <a:ext cx="14573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20</xdr:row>
      <xdr:rowOff>60722</xdr:rowOff>
    </xdr:from>
    <xdr:to>
      <xdr:col>0</xdr:col>
      <xdr:colOff>1820466</xdr:colOff>
      <xdr:row>20</xdr:row>
      <xdr:rowOff>1282303</xdr:rowOff>
    </xdr:to>
    <xdr:pic>
      <xdr:nvPicPr>
        <xdr:cNvPr id="41" name="Picture 40" descr="Insight Picture 40">
          <a:extLst>
            <a:ext uri="{FF2B5EF4-FFF2-40B4-BE49-F238E27FC236}">
              <a16:creationId xmlns:a16="http://schemas.microsoft.com/office/drawing/2014/main" id="{8E4D578C-D947-40ED-BB3E-2BBA88598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2594014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463153</xdr:colOff>
      <xdr:row>21</xdr:row>
      <xdr:rowOff>60722</xdr:rowOff>
    </xdr:from>
    <xdr:to>
      <xdr:col>0</xdr:col>
      <xdr:colOff>2013347</xdr:colOff>
      <xdr:row>21</xdr:row>
      <xdr:rowOff>1282303</xdr:rowOff>
    </xdr:to>
    <xdr:pic>
      <xdr:nvPicPr>
        <xdr:cNvPr id="43" name="Picture 42" descr="Insight Picture 42">
          <a:extLst>
            <a:ext uri="{FF2B5EF4-FFF2-40B4-BE49-F238E27FC236}">
              <a16:creationId xmlns:a16="http://schemas.microsoft.com/office/drawing/2014/main" id="{65C39D40-FFC2-4A93-B0CE-2E6B4882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" y="27283172"/>
          <a:ext cx="15501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22</xdr:row>
      <xdr:rowOff>60722</xdr:rowOff>
    </xdr:from>
    <xdr:to>
      <xdr:col>0</xdr:col>
      <xdr:colOff>1820466</xdr:colOff>
      <xdr:row>22</xdr:row>
      <xdr:rowOff>1282303</xdr:rowOff>
    </xdr:to>
    <xdr:pic>
      <xdr:nvPicPr>
        <xdr:cNvPr id="45" name="Picture 44" descr="Insight Picture 44">
          <a:extLst>
            <a:ext uri="{FF2B5EF4-FFF2-40B4-BE49-F238E27FC236}">
              <a16:creationId xmlns:a16="http://schemas.microsoft.com/office/drawing/2014/main" id="{F3060132-7A29-4F6C-8173-22BE3C6BD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2862619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23</xdr:row>
      <xdr:rowOff>60722</xdr:rowOff>
    </xdr:from>
    <xdr:to>
      <xdr:col>0</xdr:col>
      <xdr:colOff>1852613</xdr:colOff>
      <xdr:row>23</xdr:row>
      <xdr:rowOff>1282303</xdr:rowOff>
    </xdr:to>
    <xdr:pic>
      <xdr:nvPicPr>
        <xdr:cNvPr id="47" name="Picture 46" descr="Insight Picture 46">
          <a:extLst>
            <a:ext uri="{FF2B5EF4-FFF2-40B4-BE49-F238E27FC236}">
              <a16:creationId xmlns:a16="http://schemas.microsoft.com/office/drawing/2014/main" id="{C6E0D575-7FF2-457F-8A15-49EE8BCC1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299692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673894</xdr:colOff>
      <xdr:row>24</xdr:row>
      <xdr:rowOff>60722</xdr:rowOff>
    </xdr:from>
    <xdr:to>
      <xdr:col>0</xdr:col>
      <xdr:colOff>1802607</xdr:colOff>
      <xdr:row>24</xdr:row>
      <xdr:rowOff>1282303</xdr:rowOff>
    </xdr:to>
    <xdr:pic>
      <xdr:nvPicPr>
        <xdr:cNvPr id="49" name="Picture 48" descr="Insight Picture 48">
          <a:extLst>
            <a:ext uri="{FF2B5EF4-FFF2-40B4-BE49-F238E27FC236}">
              <a16:creationId xmlns:a16="http://schemas.microsoft.com/office/drawing/2014/main" id="{563FAE0B-80D0-478E-9000-3F75237A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894" y="31312247"/>
          <a:ext cx="11287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670322</xdr:colOff>
      <xdr:row>25</xdr:row>
      <xdr:rowOff>60722</xdr:rowOff>
    </xdr:from>
    <xdr:to>
      <xdr:col>0</xdr:col>
      <xdr:colOff>1806178</xdr:colOff>
      <xdr:row>25</xdr:row>
      <xdr:rowOff>1282303</xdr:rowOff>
    </xdr:to>
    <xdr:pic>
      <xdr:nvPicPr>
        <xdr:cNvPr id="51" name="Picture 50" descr="Insight Picture 50">
          <a:extLst>
            <a:ext uri="{FF2B5EF4-FFF2-40B4-BE49-F238E27FC236}">
              <a16:creationId xmlns:a16="http://schemas.microsoft.com/office/drawing/2014/main" id="{BB125D30-1D38-4BB4-B9CF-8FEAC1EDB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322" y="32655272"/>
          <a:ext cx="11358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534590</xdr:colOff>
      <xdr:row>26</xdr:row>
      <xdr:rowOff>60722</xdr:rowOff>
    </xdr:from>
    <xdr:to>
      <xdr:col>0</xdr:col>
      <xdr:colOff>1941909</xdr:colOff>
      <xdr:row>26</xdr:row>
      <xdr:rowOff>1282303</xdr:rowOff>
    </xdr:to>
    <xdr:pic>
      <xdr:nvPicPr>
        <xdr:cNvPr id="53" name="Picture 52" descr="Insight Picture 52">
          <a:extLst>
            <a:ext uri="{FF2B5EF4-FFF2-40B4-BE49-F238E27FC236}">
              <a16:creationId xmlns:a16="http://schemas.microsoft.com/office/drawing/2014/main" id="{4C918E21-6DD9-439D-B35D-03C5E234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590" y="33998297"/>
          <a:ext cx="14073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27</xdr:row>
      <xdr:rowOff>60722</xdr:rowOff>
    </xdr:from>
    <xdr:to>
      <xdr:col>0</xdr:col>
      <xdr:colOff>1841897</xdr:colOff>
      <xdr:row>27</xdr:row>
      <xdr:rowOff>1282303</xdr:rowOff>
    </xdr:to>
    <xdr:pic>
      <xdr:nvPicPr>
        <xdr:cNvPr id="55" name="Picture 54" descr="Insight Picture 54">
          <a:extLst>
            <a:ext uri="{FF2B5EF4-FFF2-40B4-BE49-F238E27FC236}">
              <a16:creationId xmlns:a16="http://schemas.microsoft.com/office/drawing/2014/main" id="{2F3196D7-3ECA-4F5F-9C34-8561C206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35341322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28</xdr:row>
      <xdr:rowOff>60722</xdr:rowOff>
    </xdr:from>
    <xdr:to>
      <xdr:col>0</xdr:col>
      <xdr:colOff>1841897</xdr:colOff>
      <xdr:row>28</xdr:row>
      <xdr:rowOff>1282303</xdr:rowOff>
    </xdr:to>
    <xdr:pic>
      <xdr:nvPicPr>
        <xdr:cNvPr id="57" name="Picture 56" descr="Insight Picture 56">
          <a:extLst>
            <a:ext uri="{FF2B5EF4-FFF2-40B4-BE49-F238E27FC236}">
              <a16:creationId xmlns:a16="http://schemas.microsoft.com/office/drawing/2014/main" id="{DC92ADE3-B054-41F2-B296-32A53132D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36684347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591740</xdr:colOff>
      <xdr:row>29</xdr:row>
      <xdr:rowOff>60722</xdr:rowOff>
    </xdr:from>
    <xdr:to>
      <xdr:col>0</xdr:col>
      <xdr:colOff>1884759</xdr:colOff>
      <xdr:row>29</xdr:row>
      <xdr:rowOff>1282303</xdr:rowOff>
    </xdr:to>
    <xdr:pic>
      <xdr:nvPicPr>
        <xdr:cNvPr id="59" name="Picture 58" descr="Insight Picture 58">
          <a:extLst>
            <a:ext uri="{FF2B5EF4-FFF2-40B4-BE49-F238E27FC236}">
              <a16:creationId xmlns:a16="http://schemas.microsoft.com/office/drawing/2014/main" id="{EA8BBAE2-3488-4533-BB2F-B13FBAF94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740" y="38027372"/>
          <a:ext cx="12930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30</xdr:row>
      <xdr:rowOff>60722</xdr:rowOff>
    </xdr:from>
    <xdr:to>
      <xdr:col>0</xdr:col>
      <xdr:colOff>1852613</xdr:colOff>
      <xdr:row>30</xdr:row>
      <xdr:rowOff>1282303</xdr:rowOff>
    </xdr:to>
    <xdr:pic>
      <xdr:nvPicPr>
        <xdr:cNvPr id="61" name="Picture 60" descr="Insight Picture 60">
          <a:extLst>
            <a:ext uri="{FF2B5EF4-FFF2-40B4-BE49-F238E27FC236}">
              <a16:creationId xmlns:a16="http://schemas.microsoft.com/office/drawing/2014/main" id="{740D1001-7731-46C3-B18C-9C5996BB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39370397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31</xdr:row>
      <xdr:rowOff>60722</xdr:rowOff>
    </xdr:from>
    <xdr:to>
      <xdr:col>0</xdr:col>
      <xdr:colOff>1845469</xdr:colOff>
      <xdr:row>31</xdr:row>
      <xdr:rowOff>1282303</xdr:rowOff>
    </xdr:to>
    <xdr:pic>
      <xdr:nvPicPr>
        <xdr:cNvPr id="63" name="Picture 62" descr="Insight Picture 62">
          <a:extLst>
            <a:ext uri="{FF2B5EF4-FFF2-40B4-BE49-F238E27FC236}">
              <a16:creationId xmlns:a16="http://schemas.microsoft.com/office/drawing/2014/main" id="{B55B17E1-457C-4145-9817-0A0C9651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40713422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534590</xdr:colOff>
      <xdr:row>32</xdr:row>
      <xdr:rowOff>60722</xdr:rowOff>
    </xdr:from>
    <xdr:to>
      <xdr:col>0</xdr:col>
      <xdr:colOff>1941909</xdr:colOff>
      <xdr:row>32</xdr:row>
      <xdr:rowOff>1282303</xdr:rowOff>
    </xdr:to>
    <xdr:pic>
      <xdr:nvPicPr>
        <xdr:cNvPr id="65" name="Picture 64" descr="Insight Picture 64">
          <a:extLst>
            <a:ext uri="{FF2B5EF4-FFF2-40B4-BE49-F238E27FC236}">
              <a16:creationId xmlns:a16="http://schemas.microsoft.com/office/drawing/2014/main" id="{AC6D6806-E486-49CF-8F82-5C5DC66A4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590" y="42056447"/>
          <a:ext cx="14073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688181</xdr:colOff>
      <xdr:row>33</xdr:row>
      <xdr:rowOff>60722</xdr:rowOff>
    </xdr:from>
    <xdr:to>
      <xdr:col>0</xdr:col>
      <xdr:colOff>1788319</xdr:colOff>
      <xdr:row>33</xdr:row>
      <xdr:rowOff>1282303</xdr:rowOff>
    </xdr:to>
    <xdr:pic>
      <xdr:nvPicPr>
        <xdr:cNvPr id="67" name="Picture 66" descr="Insight Picture 66">
          <a:extLst>
            <a:ext uri="{FF2B5EF4-FFF2-40B4-BE49-F238E27FC236}">
              <a16:creationId xmlns:a16="http://schemas.microsoft.com/office/drawing/2014/main" id="{48234190-2F1F-4097-AAAE-BE546B26D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181" y="43399472"/>
          <a:ext cx="11001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</xdr:colOff>
      <xdr:row>34</xdr:row>
      <xdr:rowOff>60722</xdr:rowOff>
    </xdr:from>
    <xdr:to>
      <xdr:col>0</xdr:col>
      <xdr:colOff>2413397</xdr:colOff>
      <xdr:row>34</xdr:row>
      <xdr:rowOff>1282303</xdr:rowOff>
    </xdr:to>
    <xdr:pic>
      <xdr:nvPicPr>
        <xdr:cNvPr id="69" name="Picture 68" descr="Insight Picture 68">
          <a:extLst>
            <a:ext uri="{FF2B5EF4-FFF2-40B4-BE49-F238E27FC236}">
              <a16:creationId xmlns:a16="http://schemas.microsoft.com/office/drawing/2014/main" id="{6E2A3C4C-12DA-422D-9F9A-CC07FADCF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" y="44742497"/>
          <a:ext cx="2350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648890</xdr:colOff>
      <xdr:row>35</xdr:row>
      <xdr:rowOff>60722</xdr:rowOff>
    </xdr:from>
    <xdr:to>
      <xdr:col>0</xdr:col>
      <xdr:colOff>1827609</xdr:colOff>
      <xdr:row>35</xdr:row>
      <xdr:rowOff>1282303</xdr:rowOff>
    </xdr:to>
    <xdr:pic>
      <xdr:nvPicPr>
        <xdr:cNvPr id="71" name="Picture 70" descr="Insight Picture 70">
          <a:extLst>
            <a:ext uri="{FF2B5EF4-FFF2-40B4-BE49-F238E27FC236}">
              <a16:creationId xmlns:a16="http://schemas.microsoft.com/office/drawing/2014/main" id="{33320D08-C820-4997-924A-0DF9BF601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890" y="46085522"/>
          <a:ext cx="11787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330993</xdr:colOff>
      <xdr:row>36</xdr:row>
      <xdr:rowOff>60722</xdr:rowOff>
    </xdr:from>
    <xdr:to>
      <xdr:col>0</xdr:col>
      <xdr:colOff>2145506</xdr:colOff>
      <xdr:row>36</xdr:row>
      <xdr:rowOff>1282303</xdr:rowOff>
    </xdr:to>
    <xdr:pic>
      <xdr:nvPicPr>
        <xdr:cNvPr id="73" name="Picture 72" descr="Insight Picture 72">
          <a:extLst>
            <a:ext uri="{FF2B5EF4-FFF2-40B4-BE49-F238E27FC236}">
              <a16:creationId xmlns:a16="http://schemas.microsoft.com/office/drawing/2014/main" id="{76564BFB-C79F-43E7-ABBD-548F201F7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993" y="47428547"/>
          <a:ext cx="18145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277416</xdr:colOff>
      <xdr:row>37</xdr:row>
      <xdr:rowOff>59531</xdr:rowOff>
    </xdr:from>
    <xdr:to>
      <xdr:col>0</xdr:col>
      <xdr:colOff>2199085</xdr:colOff>
      <xdr:row>37</xdr:row>
      <xdr:rowOff>1273969</xdr:rowOff>
    </xdr:to>
    <xdr:pic>
      <xdr:nvPicPr>
        <xdr:cNvPr id="75" name="Picture 74" descr="Insight Picture 74">
          <a:extLst>
            <a:ext uri="{FF2B5EF4-FFF2-40B4-BE49-F238E27FC236}">
              <a16:creationId xmlns:a16="http://schemas.microsoft.com/office/drawing/2014/main" id="{B3C2C14B-6D46-4A87-AC88-0CCF8BEF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416" y="48770381"/>
          <a:ext cx="1921669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38</xdr:row>
      <xdr:rowOff>60722</xdr:rowOff>
    </xdr:from>
    <xdr:to>
      <xdr:col>0</xdr:col>
      <xdr:colOff>1820466</xdr:colOff>
      <xdr:row>38</xdr:row>
      <xdr:rowOff>1282303</xdr:rowOff>
    </xdr:to>
    <xdr:pic>
      <xdr:nvPicPr>
        <xdr:cNvPr id="77" name="Picture 76" descr="Insight Picture 76">
          <a:extLst>
            <a:ext uri="{FF2B5EF4-FFF2-40B4-BE49-F238E27FC236}">
              <a16:creationId xmlns:a16="http://schemas.microsoft.com/office/drawing/2014/main" id="{65BBF2DB-8626-47DE-8DDD-3DED06BE5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50105072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509588</xdr:colOff>
      <xdr:row>39</xdr:row>
      <xdr:rowOff>59531</xdr:rowOff>
    </xdr:from>
    <xdr:to>
      <xdr:col>0</xdr:col>
      <xdr:colOff>1966913</xdr:colOff>
      <xdr:row>39</xdr:row>
      <xdr:rowOff>1273969</xdr:rowOff>
    </xdr:to>
    <xdr:pic>
      <xdr:nvPicPr>
        <xdr:cNvPr id="79" name="Picture 78" descr="Insight Picture 78">
          <a:extLst>
            <a:ext uri="{FF2B5EF4-FFF2-40B4-BE49-F238E27FC236}">
              <a16:creationId xmlns:a16="http://schemas.microsoft.com/office/drawing/2014/main" id="{8711FAE9-2392-4230-9A0A-5636D3844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8" y="51446906"/>
          <a:ext cx="1457325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441722</xdr:colOff>
      <xdr:row>40</xdr:row>
      <xdr:rowOff>60722</xdr:rowOff>
    </xdr:from>
    <xdr:to>
      <xdr:col>0</xdr:col>
      <xdr:colOff>2034778</xdr:colOff>
      <xdr:row>40</xdr:row>
      <xdr:rowOff>1282303</xdr:rowOff>
    </xdr:to>
    <xdr:pic>
      <xdr:nvPicPr>
        <xdr:cNvPr id="81" name="Picture 80" descr="Insight Picture 80">
          <a:extLst>
            <a:ext uri="{FF2B5EF4-FFF2-40B4-BE49-F238E27FC236}">
              <a16:creationId xmlns:a16="http://schemas.microsoft.com/office/drawing/2014/main" id="{F34AB0FC-7B6F-4A78-A844-1C896453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722" y="52781597"/>
          <a:ext cx="15930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645319</xdr:colOff>
      <xdr:row>41</xdr:row>
      <xdr:rowOff>60722</xdr:rowOff>
    </xdr:from>
    <xdr:to>
      <xdr:col>0</xdr:col>
      <xdr:colOff>1831182</xdr:colOff>
      <xdr:row>41</xdr:row>
      <xdr:rowOff>1282303</xdr:rowOff>
    </xdr:to>
    <xdr:pic>
      <xdr:nvPicPr>
        <xdr:cNvPr id="83" name="Picture 82" descr="Insight Picture 82">
          <a:extLst>
            <a:ext uri="{FF2B5EF4-FFF2-40B4-BE49-F238E27FC236}">
              <a16:creationId xmlns:a16="http://schemas.microsoft.com/office/drawing/2014/main" id="{5C4763B0-8544-435A-8501-91CEED4EF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319" y="54124622"/>
          <a:ext cx="11858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42</xdr:row>
      <xdr:rowOff>60722</xdr:rowOff>
    </xdr:from>
    <xdr:to>
      <xdr:col>0</xdr:col>
      <xdr:colOff>1820466</xdr:colOff>
      <xdr:row>42</xdr:row>
      <xdr:rowOff>1282303</xdr:rowOff>
    </xdr:to>
    <xdr:pic>
      <xdr:nvPicPr>
        <xdr:cNvPr id="85" name="Picture 84" descr="Insight Picture 84">
          <a:extLst>
            <a:ext uri="{FF2B5EF4-FFF2-40B4-BE49-F238E27FC236}">
              <a16:creationId xmlns:a16="http://schemas.microsoft.com/office/drawing/2014/main" id="{B653D829-B7A9-4E2E-A52D-DC55ABC4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5546764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445294</xdr:colOff>
      <xdr:row>43</xdr:row>
      <xdr:rowOff>60722</xdr:rowOff>
    </xdr:from>
    <xdr:to>
      <xdr:col>0</xdr:col>
      <xdr:colOff>2031207</xdr:colOff>
      <xdr:row>43</xdr:row>
      <xdr:rowOff>1282303</xdr:rowOff>
    </xdr:to>
    <xdr:pic>
      <xdr:nvPicPr>
        <xdr:cNvPr id="87" name="Picture 86" descr="Insight Picture 86">
          <a:extLst>
            <a:ext uri="{FF2B5EF4-FFF2-40B4-BE49-F238E27FC236}">
              <a16:creationId xmlns:a16="http://schemas.microsoft.com/office/drawing/2014/main" id="{A9733305-A653-41E7-B555-F658FECB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294" y="56810672"/>
          <a:ext cx="15859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44</xdr:row>
      <xdr:rowOff>60722</xdr:rowOff>
    </xdr:from>
    <xdr:to>
      <xdr:col>0</xdr:col>
      <xdr:colOff>1845469</xdr:colOff>
      <xdr:row>44</xdr:row>
      <xdr:rowOff>1282303</xdr:rowOff>
    </xdr:to>
    <xdr:pic>
      <xdr:nvPicPr>
        <xdr:cNvPr id="89" name="Picture 88" descr="Insight Picture 88">
          <a:extLst>
            <a:ext uri="{FF2B5EF4-FFF2-40B4-BE49-F238E27FC236}">
              <a16:creationId xmlns:a16="http://schemas.microsoft.com/office/drawing/2014/main" id="{589FBE86-F807-4023-A255-C2E66B7AB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58153697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45</xdr:row>
      <xdr:rowOff>60722</xdr:rowOff>
    </xdr:from>
    <xdr:to>
      <xdr:col>0</xdr:col>
      <xdr:colOff>1852613</xdr:colOff>
      <xdr:row>45</xdr:row>
      <xdr:rowOff>1282303</xdr:rowOff>
    </xdr:to>
    <xdr:pic>
      <xdr:nvPicPr>
        <xdr:cNvPr id="91" name="Picture 90" descr="Insight Picture 90">
          <a:extLst>
            <a:ext uri="{FF2B5EF4-FFF2-40B4-BE49-F238E27FC236}">
              <a16:creationId xmlns:a16="http://schemas.microsoft.com/office/drawing/2014/main" id="{E970A88E-C764-4B0C-8269-EAC9F19B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594967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702469</xdr:colOff>
      <xdr:row>46</xdr:row>
      <xdr:rowOff>60722</xdr:rowOff>
    </xdr:from>
    <xdr:to>
      <xdr:col>0</xdr:col>
      <xdr:colOff>1774032</xdr:colOff>
      <xdr:row>46</xdr:row>
      <xdr:rowOff>1282303</xdr:rowOff>
    </xdr:to>
    <xdr:pic>
      <xdr:nvPicPr>
        <xdr:cNvPr id="93" name="Picture 92" descr="Insight Picture 92">
          <a:extLst>
            <a:ext uri="{FF2B5EF4-FFF2-40B4-BE49-F238E27FC236}">
              <a16:creationId xmlns:a16="http://schemas.microsoft.com/office/drawing/2014/main" id="{F505DCA8-0DB2-40CB-8721-F0214753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469" y="60839747"/>
          <a:ext cx="10715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47</xdr:row>
      <xdr:rowOff>60722</xdr:rowOff>
    </xdr:from>
    <xdr:to>
      <xdr:col>0</xdr:col>
      <xdr:colOff>1852613</xdr:colOff>
      <xdr:row>47</xdr:row>
      <xdr:rowOff>1282303</xdr:rowOff>
    </xdr:to>
    <xdr:pic>
      <xdr:nvPicPr>
        <xdr:cNvPr id="95" name="Picture 94" descr="Insight Picture 94">
          <a:extLst>
            <a:ext uri="{FF2B5EF4-FFF2-40B4-BE49-F238E27FC236}">
              <a16:creationId xmlns:a16="http://schemas.microsoft.com/office/drawing/2014/main" id="{91E97595-9043-49CB-8CE4-148479351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6218277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470297</xdr:colOff>
      <xdr:row>48</xdr:row>
      <xdr:rowOff>60722</xdr:rowOff>
    </xdr:from>
    <xdr:to>
      <xdr:col>0</xdr:col>
      <xdr:colOff>2006203</xdr:colOff>
      <xdr:row>48</xdr:row>
      <xdr:rowOff>1282303</xdr:rowOff>
    </xdr:to>
    <xdr:pic>
      <xdr:nvPicPr>
        <xdr:cNvPr id="97" name="Picture 96" descr="Insight Picture 96">
          <a:extLst>
            <a:ext uri="{FF2B5EF4-FFF2-40B4-BE49-F238E27FC236}">
              <a16:creationId xmlns:a16="http://schemas.microsoft.com/office/drawing/2014/main" id="{CF9762AD-96B9-4191-8784-51D57FC24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297" y="63525797"/>
          <a:ext cx="15359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49</xdr:row>
      <xdr:rowOff>60722</xdr:rowOff>
    </xdr:from>
    <xdr:to>
      <xdr:col>0</xdr:col>
      <xdr:colOff>1852613</xdr:colOff>
      <xdr:row>49</xdr:row>
      <xdr:rowOff>1282303</xdr:rowOff>
    </xdr:to>
    <xdr:pic>
      <xdr:nvPicPr>
        <xdr:cNvPr id="99" name="Picture 98" descr="Insight Picture 98">
          <a:extLst>
            <a:ext uri="{FF2B5EF4-FFF2-40B4-BE49-F238E27FC236}">
              <a16:creationId xmlns:a16="http://schemas.microsoft.com/office/drawing/2014/main" id="{62644103-B1AF-4CBD-B20D-904DAEDF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648688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534590</xdr:colOff>
      <xdr:row>50</xdr:row>
      <xdr:rowOff>60722</xdr:rowOff>
    </xdr:from>
    <xdr:to>
      <xdr:col>0</xdr:col>
      <xdr:colOff>1941909</xdr:colOff>
      <xdr:row>50</xdr:row>
      <xdr:rowOff>1282303</xdr:rowOff>
    </xdr:to>
    <xdr:pic>
      <xdr:nvPicPr>
        <xdr:cNvPr id="101" name="Picture 100" descr="Insight Picture 100">
          <a:extLst>
            <a:ext uri="{FF2B5EF4-FFF2-40B4-BE49-F238E27FC236}">
              <a16:creationId xmlns:a16="http://schemas.microsoft.com/office/drawing/2014/main" id="{D3487D9C-441B-4B85-8528-1EC4402A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590" y="66211847"/>
          <a:ext cx="14073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51</xdr:row>
      <xdr:rowOff>60722</xdr:rowOff>
    </xdr:from>
    <xdr:to>
      <xdr:col>0</xdr:col>
      <xdr:colOff>1841897</xdr:colOff>
      <xdr:row>51</xdr:row>
      <xdr:rowOff>1282303</xdr:rowOff>
    </xdr:to>
    <xdr:pic>
      <xdr:nvPicPr>
        <xdr:cNvPr id="103" name="Picture 102" descr="Insight Picture 102">
          <a:extLst>
            <a:ext uri="{FF2B5EF4-FFF2-40B4-BE49-F238E27FC236}">
              <a16:creationId xmlns:a16="http://schemas.microsoft.com/office/drawing/2014/main" id="{EC0EE7BA-1164-4E8F-8141-0C8D8C9E4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67554872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416718</xdr:colOff>
      <xdr:row>52</xdr:row>
      <xdr:rowOff>61913</xdr:rowOff>
    </xdr:from>
    <xdr:to>
      <xdr:col>0</xdr:col>
      <xdr:colOff>2059781</xdr:colOff>
      <xdr:row>52</xdr:row>
      <xdr:rowOff>1290638</xdr:rowOff>
    </xdr:to>
    <xdr:pic>
      <xdr:nvPicPr>
        <xdr:cNvPr id="105" name="Picture 104" descr="Insight Picture 104">
          <a:extLst>
            <a:ext uri="{FF2B5EF4-FFF2-40B4-BE49-F238E27FC236}">
              <a16:creationId xmlns:a16="http://schemas.microsoft.com/office/drawing/2014/main" id="{0CC4AF4F-5EE7-46D3-8216-6F6840A34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8" y="68899088"/>
          <a:ext cx="1643063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509588</xdr:colOff>
      <xdr:row>53</xdr:row>
      <xdr:rowOff>60722</xdr:rowOff>
    </xdr:from>
    <xdr:to>
      <xdr:col>0</xdr:col>
      <xdr:colOff>1966913</xdr:colOff>
      <xdr:row>53</xdr:row>
      <xdr:rowOff>1282303</xdr:rowOff>
    </xdr:to>
    <xdr:pic>
      <xdr:nvPicPr>
        <xdr:cNvPr id="107" name="Picture 106" descr="Insight Picture 106">
          <a:extLst>
            <a:ext uri="{FF2B5EF4-FFF2-40B4-BE49-F238E27FC236}">
              <a16:creationId xmlns:a16="http://schemas.microsoft.com/office/drawing/2014/main" id="{61FBA776-72B8-4DF3-99C4-FE3A2509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8" y="70250447"/>
          <a:ext cx="14573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54</xdr:row>
      <xdr:rowOff>60722</xdr:rowOff>
    </xdr:from>
    <xdr:to>
      <xdr:col>0</xdr:col>
      <xdr:colOff>1845469</xdr:colOff>
      <xdr:row>54</xdr:row>
      <xdr:rowOff>1282303</xdr:rowOff>
    </xdr:to>
    <xdr:pic>
      <xdr:nvPicPr>
        <xdr:cNvPr id="109" name="Picture 108" descr="Insight Picture 108">
          <a:extLst>
            <a:ext uri="{FF2B5EF4-FFF2-40B4-BE49-F238E27FC236}">
              <a16:creationId xmlns:a16="http://schemas.microsoft.com/office/drawing/2014/main" id="{EA44D82C-D17B-4F88-B7A5-DD46DD4C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71593472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606028</xdr:colOff>
      <xdr:row>55</xdr:row>
      <xdr:rowOff>60722</xdr:rowOff>
    </xdr:from>
    <xdr:to>
      <xdr:col>0</xdr:col>
      <xdr:colOff>1870472</xdr:colOff>
      <xdr:row>55</xdr:row>
      <xdr:rowOff>1282303</xdr:rowOff>
    </xdr:to>
    <xdr:pic>
      <xdr:nvPicPr>
        <xdr:cNvPr id="111" name="Picture 110" descr="Insight Picture 110">
          <a:extLst>
            <a:ext uri="{FF2B5EF4-FFF2-40B4-BE49-F238E27FC236}">
              <a16:creationId xmlns:a16="http://schemas.microsoft.com/office/drawing/2014/main" id="{006BA824-435B-44AE-AD94-93E064BFA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028" y="72936497"/>
          <a:ext cx="126444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56</xdr:row>
      <xdr:rowOff>60722</xdr:rowOff>
    </xdr:from>
    <xdr:to>
      <xdr:col>0</xdr:col>
      <xdr:colOff>1820466</xdr:colOff>
      <xdr:row>56</xdr:row>
      <xdr:rowOff>1282303</xdr:rowOff>
    </xdr:to>
    <xdr:pic>
      <xdr:nvPicPr>
        <xdr:cNvPr id="113" name="Picture 112" descr="Insight Picture 112">
          <a:extLst>
            <a:ext uri="{FF2B5EF4-FFF2-40B4-BE49-F238E27FC236}">
              <a16:creationId xmlns:a16="http://schemas.microsoft.com/office/drawing/2014/main" id="{F9B6BD83-9ECD-4841-8A6B-E71FD0BD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74279522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520303</xdr:colOff>
      <xdr:row>57</xdr:row>
      <xdr:rowOff>60722</xdr:rowOff>
    </xdr:from>
    <xdr:to>
      <xdr:col>0</xdr:col>
      <xdr:colOff>1956197</xdr:colOff>
      <xdr:row>57</xdr:row>
      <xdr:rowOff>1282303</xdr:rowOff>
    </xdr:to>
    <xdr:pic>
      <xdr:nvPicPr>
        <xdr:cNvPr id="115" name="Picture 114" descr="Insight Picture 114">
          <a:extLst>
            <a:ext uri="{FF2B5EF4-FFF2-40B4-BE49-F238E27FC236}">
              <a16:creationId xmlns:a16="http://schemas.microsoft.com/office/drawing/2014/main" id="{494DFC26-BF62-4E91-B469-7B43EBE26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03" y="75622547"/>
          <a:ext cx="14358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520303</xdr:colOff>
      <xdr:row>58</xdr:row>
      <xdr:rowOff>60722</xdr:rowOff>
    </xdr:from>
    <xdr:to>
      <xdr:col>0</xdr:col>
      <xdr:colOff>1956197</xdr:colOff>
      <xdr:row>58</xdr:row>
      <xdr:rowOff>1282303</xdr:rowOff>
    </xdr:to>
    <xdr:pic>
      <xdr:nvPicPr>
        <xdr:cNvPr id="117" name="Picture 116" descr="Insight Picture 116">
          <a:extLst>
            <a:ext uri="{FF2B5EF4-FFF2-40B4-BE49-F238E27FC236}">
              <a16:creationId xmlns:a16="http://schemas.microsoft.com/office/drawing/2014/main" id="{C3ED26A4-BA73-4DAB-9FC6-FFE7ADE9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03" y="76965572"/>
          <a:ext cx="14358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59</xdr:row>
      <xdr:rowOff>60722</xdr:rowOff>
    </xdr:from>
    <xdr:to>
      <xdr:col>0</xdr:col>
      <xdr:colOff>1856184</xdr:colOff>
      <xdr:row>59</xdr:row>
      <xdr:rowOff>1282303</xdr:rowOff>
    </xdr:to>
    <xdr:pic>
      <xdr:nvPicPr>
        <xdr:cNvPr id="119" name="Picture 118" descr="Insight Picture 118">
          <a:extLst>
            <a:ext uri="{FF2B5EF4-FFF2-40B4-BE49-F238E27FC236}">
              <a16:creationId xmlns:a16="http://schemas.microsoft.com/office/drawing/2014/main" id="{2BECECF3-1C56-44D8-AD2B-B3FB02DD9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78308597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60</xdr:row>
      <xdr:rowOff>60722</xdr:rowOff>
    </xdr:from>
    <xdr:to>
      <xdr:col>0</xdr:col>
      <xdr:colOff>1852613</xdr:colOff>
      <xdr:row>60</xdr:row>
      <xdr:rowOff>1282303</xdr:rowOff>
    </xdr:to>
    <xdr:pic>
      <xdr:nvPicPr>
        <xdr:cNvPr id="121" name="Picture 120" descr="Insight Picture 120">
          <a:extLst>
            <a:ext uri="{FF2B5EF4-FFF2-40B4-BE49-F238E27FC236}">
              <a16:creationId xmlns:a16="http://schemas.microsoft.com/office/drawing/2014/main" id="{84225863-A3DE-4AE7-AE74-C7447D9E9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796516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520303</xdr:colOff>
      <xdr:row>61</xdr:row>
      <xdr:rowOff>60722</xdr:rowOff>
    </xdr:from>
    <xdr:to>
      <xdr:col>0</xdr:col>
      <xdr:colOff>1956197</xdr:colOff>
      <xdr:row>61</xdr:row>
      <xdr:rowOff>1282303</xdr:rowOff>
    </xdr:to>
    <xdr:pic>
      <xdr:nvPicPr>
        <xdr:cNvPr id="123" name="Picture 122" descr="Insight Picture 122">
          <a:extLst>
            <a:ext uri="{FF2B5EF4-FFF2-40B4-BE49-F238E27FC236}">
              <a16:creationId xmlns:a16="http://schemas.microsoft.com/office/drawing/2014/main" id="{33F24534-8BE7-4B06-9F1C-1A8E1F57F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03" y="80994647"/>
          <a:ext cx="14358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62</xdr:row>
      <xdr:rowOff>60722</xdr:rowOff>
    </xdr:from>
    <xdr:to>
      <xdr:col>0</xdr:col>
      <xdr:colOff>1981200</xdr:colOff>
      <xdr:row>62</xdr:row>
      <xdr:rowOff>1282303</xdr:rowOff>
    </xdr:to>
    <xdr:pic>
      <xdr:nvPicPr>
        <xdr:cNvPr id="125" name="Picture 124" descr="Insight Picture 124">
          <a:extLst>
            <a:ext uri="{FF2B5EF4-FFF2-40B4-BE49-F238E27FC236}">
              <a16:creationId xmlns:a16="http://schemas.microsoft.com/office/drawing/2014/main" id="{BCA2612E-170C-4AA4-9C17-AA5E5378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82337672"/>
          <a:ext cx="148590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652463</xdr:colOff>
      <xdr:row>63</xdr:row>
      <xdr:rowOff>60722</xdr:rowOff>
    </xdr:from>
    <xdr:to>
      <xdr:col>0</xdr:col>
      <xdr:colOff>1824038</xdr:colOff>
      <xdr:row>63</xdr:row>
      <xdr:rowOff>1282303</xdr:rowOff>
    </xdr:to>
    <xdr:pic>
      <xdr:nvPicPr>
        <xdr:cNvPr id="127" name="Picture 126" descr="Insight Picture 126">
          <a:extLst>
            <a:ext uri="{FF2B5EF4-FFF2-40B4-BE49-F238E27FC236}">
              <a16:creationId xmlns:a16="http://schemas.microsoft.com/office/drawing/2014/main" id="{A33D62B3-4C27-450C-96A0-D6D423A1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3" y="83680697"/>
          <a:ext cx="117157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673894</xdr:colOff>
      <xdr:row>64</xdr:row>
      <xdr:rowOff>60722</xdr:rowOff>
    </xdr:from>
    <xdr:to>
      <xdr:col>0</xdr:col>
      <xdr:colOff>1802607</xdr:colOff>
      <xdr:row>64</xdr:row>
      <xdr:rowOff>1282303</xdr:rowOff>
    </xdr:to>
    <xdr:pic>
      <xdr:nvPicPr>
        <xdr:cNvPr id="129" name="Picture 128" descr="Insight Picture 128">
          <a:extLst>
            <a:ext uri="{FF2B5EF4-FFF2-40B4-BE49-F238E27FC236}">
              <a16:creationId xmlns:a16="http://schemas.microsoft.com/office/drawing/2014/main" id="{FB948557-7E14-4A87-A055-58EDE2817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894" y="85023722"/>
          <a:ext cx="11287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309563</xdr:colOff>
      <xdr:row>65</xdr:row>
      <xdr:rowOff>61913</xdr:rowOff>
    </xdr:from>
    <xdr:to>
      <xdr:col>0</xdr:col>
      <xdr:colOff>2166938</xdr:colOff>
      <xdr:row>65</xdr:row>
      <xdr:rowOff>1290638</xdr:rowOff>
    </xdr:to>
    <xdr:pic>
      <xdr:nvPicPr>
        <xdr:cNvPr id="131" name="Picture 130" descr="Insight Picture 130">
          <a:extLst>
            <a:ext uri="{FF2B5EF4-FFF2-40B4-BE49-F238E27FC236}">
              <a16:creationId xmlns:a16="http://schemas.microsoft.com/office/drawing/2014/main" id="{363D04FB-F3BF-4F80-AA6A-DC86D077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3" y="86367938"/>
          <a:ext cx="1857375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66</xdr:row>
      <xdr:rowOff>60722</xdr:rowOff>
    </xdr:from>
    <xdr:to>
      <xdr:col>0</xdr:col>
      <xdr:colOff>1838325</xdr:colOff>
      <xdr:row>66</xdr:row>
      <xdr:rowOff>1282303</xdr:rowOff>
    </xdr:to>
    <xdr:pic>
      <xdr:nvPicPr>
        <xdr:cNvPr id="133" name="Picture 132" descr="Insight Picture 132">
          <a:extLst>
            <a:ext uri="{FF2B5EF4-FFF2-40B4-BE49-F238E27FC236}">
              <a16:creationId xmlns:a16="http://schemas.microsoft.com/office/drawing/2014/main" id="{73A2A993-0793-400E-AED4-760A840B3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7719297"/>
          <a:ext cx="12001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520303</xdr:colOff>
      <xdr:row>67</xdr:row>
      <xdr:rowOff>60722</xdr:rowOff>
    </xdr:from>
    <xdr:to>
      <xdr:col>0</xdr:col>
      <xdr:colOff>1956197</xdr:colOff>
      <xdr:row>67</xdr:row>
      <xdr:rowOff>1282303</xdr:rowOff>
    </xdr:to>
    <xdr:pic>
      <xdr:nvPicPr>
        <xdr:cNvPr id="135" name="Picture 134" descr="Insight Picture 134">
          <a:extLst>
            <a:ext uri="{FF2B5EF4-FFF2-40B4-BE49-F238E27FC236}">
              <a16:creationId xmlns:a16="http://schemas.microsoft.com/office/drawing/2014/main" id="{08A7449E-B5EF-4D13-A80B-3DA18357F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03" y="89062322"/>
          <a:ext cx="14358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68</xdr:row>
      <xdr:rowOff>60722</xdr:rowOff>
    </xdr:from>
    <xdr:to>
      <xdr:col>0</xdr:col>
      <xdr:colOff>1852613</xdr:colOff>
      <xdr:row>68</xdr:row>
      <xdr:rowOff>1282303</xdr:rowOff>
    </xdr:to>
    <xdr:pic>
      <xdr:nvPicPr>
        <xdr:cNvPr id="137" name="Picture 136" descr="Insight Picture 136">
          <a:extLst>
            <a:ext uri="{FF2B5EF4-FFF2-40B4-BE49-F238E27FC236}">
              <a16:creationId xmlns:a16="http://schemas.microsoft.com/office/drawing/2014/main" id="{D7FEFB18-2E26-44AE-AB56-E42AC434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90405347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491728</xdr:colOff>
      <xdr:row>69</xdr:row>
      <xdr:rowOff>59531</xdr:rowOff>
    </xdr:from>
    <xdr:to>
      <xdr:col>0</xdr:col>
      <xdr:colOff>1984772</xdr:colOff>
      <xdr:row>69</xdr:row>
      <xdr:rowOff>1273969</xdr:rowOff>
    </xdr:to>
    <xdr:pic>
      <xdr:nvPicPr>
        <xdr:cNvPr id="139" name="Picture 138" descr="Insight Picture 138">
          <a:extLst>
            <a:ext uri="{FF2B5EF4-FFF2-40B4-BE49-F238E27FC236}">
              <a16:creationId xmlns:a16="http://schemas.microsoft.com/office/drawing/2014/main" id="{06E369B1-66E7-426B-8968-0142A7249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8" y="91747181"/>
          <a:ext cx="1493044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641747</xdr:colOff>
      <xdr:row>70</xdr:row>
      <xdr:rowOff>60722</xdr:rowOff>
    </xdr:from>
    <xdr:to>
      <xdr:col>0</xdr:col>
      <xdr:colOff>1834753</xdr:colOff>
      <xdr:row>70</xdr:row>
      <xdr:rowOff>1282303</xdr:rowOff>
    </xdr:to>
    <xdr:pic>
      <xdr:nvPicPr>
        <xdr:cNvPr id="141" name="Picture 140" descr="Insight Picture 140">
          <a:extLst>
            <a:ext uri="{FF2B5EF4-FFF2-40B4-BE49-F238E27FC236}">
              <a16:creationId xmlns:a16="http://schemas.microsoft.com/office/drawing/2014/main" id="{DCCD83A8-3B97-446C-9465-C45CF2CD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7" y="93081872"/>
          <a:ext cx="11930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355997</xdr:colOff>
      <xdr:row>71</xdr:row>
      <xdr:rowOff>60722</xdr:rowOff>
    </xdr:from>
    <xdr:to>
      <xdr:col>0</xdr:col>
      <xdr:colOff>2120503</xdr:colOff>
      <xdr:row>71</xdr:row>
      <xdr:rowOff>1282303</xdr:rowOff>
    </xdr:to>
    <xdr:pic>
      <xdr:nvPicPr>
        <xdr:cNvPr id="143" name="Picture 142" descr="Insight Picture 142">
          <a:extLst>
            <a:ext uri="{FF2B5EF4-FFF2-40B4-BE49-F238E27FC236}">
              <a16:creationId xmlns:a16="http://schemas.microsoft.com/office/drawing/2014/main" id="{32E83ED5-B7F9-4C78-A434-BEE9973D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97" y="94424897"/>
          <a:ext cx="17645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616744</xdr:colOff>
      <xdr:row>72</xdr:row>
      <xdr:rowOff>60722</xdr:rowOff>
    </xdr:from>
    <xdr:to>
      <xdr:col>0</xdr:col>
      <xdr:colOff>1859757</xdr:colOff>
      <xdr:row>72</xdr:row>
      <xdr:rowOff>1282303</xdr:rowOff>
    </xdr:to>
    <xdr:pic>
      <xdr:nvPicPr>
        <xdr:cNvPr id="145" name="Picture 144" descr="Insight Picture 144">
          <a:extLst>
            <a:ext uri="{FF2B5EF4-FFF2-40B4-BE49-F238E27FC236}">
              <a16:creationId xmlns:a16="http://schemas.microsoft.com/office/drawing/2014/main" id="{EA1F9EEE-3CA6-4481-9B9B-792FA33CF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4" y="95767922"/>
          <a:ext cx="12430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463153</xdr:colOff>
      <xdr:row>73</xdr:row>
      <xdr:rowOff>60722</xdr:rowOff>
    </xdr:from>
    <xdr:to>
      <xdr:col>0</xdr:col>
      <xdr:colOff>2013347</xdr:colOff>
      <xdr:row>73</xdr:row>
      <xdr:rowOff>1282303</xdr:rowOff>
    </xdr:to>
    <xdr:pic>
      <xdr:nvPicPr>
        <xdr:cNvPr id="147" name="Picture 146" descr="Insight Picture 146">
          <a:extLst>
            <a:ext uri="{FF2B5EF4-FFF2-40B4-BE49-F238E27FC236}">
              <a16:creationId xmlns:a16="http://schemas.microsoft.com/office/drawing/2014/main" id="{B3A15F3A-60F2-4A1A-9602-C27F51940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" y="97110947"/>
          <a:ext cx="15501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588169</xdr:colOff>
      <xdr:row>74</xdr:row>
      <xdr:rowOff>60722</xdr:rowOff>
    </xdr:from>
    <xdr:to>
      <xdr:col>0</xdr:col>
      <xdr:colOff>1888332</xdr:colOff>
      <xdr:row>74</xdr:row>
      <xdr:rowOff>1282303</xdr:rowOff>
    </xdr:to>
    <xdr:pic>
      <xdr:nvPicPr>
        <xdr:cNvPr id="149" name="Picture 148" descr="Insight Picture 148">
          <a:extLst>
            <a:ext uri="{FF2B5EF4-FFF2-40B4-BE49-F238E27FC236}">
              <a16:creationId xmlns:a16="http://schemas.microsoft.com/office/drawing/2014/main" id="{9FC29AE2-932A-42CE-B156-371C0544F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9" y="98453972"/>
          <a:ext cx="13001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509588</xdr:colOff>
      <xdr:row>75</xdr:row>
      <xdr:rowOff>60722</xdr:rowOff>
    </xdr:from>
    <xdr:to>
      <xdr:col>0</xdr:col>
      <xdr:colOff>1966913</xdr:colOff>
      <xdr:row>75</xdr:row>
      <xdr:rowOff>1282303</xdr:rowOff>
    </xdr:to>
    <xdr:pic>
      <xdr:nvPicPr>
        <xdr:cNvPr id="151" name="Picture 150" descr="Insight Picture 150">
          <a:extLst>
            <a:ext uri="{FF2B5EF4-FFF2-40B4-BE49-F238E27FC236}">
              <a16:creationId xmlns:a16="http://schemas.microsoft.com/office/drawing/2014/main" id="{D5231C2E-21C4-4F1F-9BE8-8DCF9D1F1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8" y="99796997"/>
          <a:ext cx="14573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76</xdr:row>
      <xdr:rowOff>60722</xdr:rowOff>
    </xdr:from>
    <xdr:to>
      <xdr:col>0</xdr:col>
      <xdr:colOff>1820466</xdr:colOff>
      <xdr:row>76</xdr:row>
      <xdr:rowOff>1282303</xdr:rowOff>
    </xdr:to>
    <xdr:pic>
      <xdr:nvPicPr>
        <xdr:cNvPr id="153" name="Picture 152" descr="Insight Picture 152">
          <a:extLst>
            <a:ext uri="{FF2B5EF4-FFF2-40B4-BE49-F238E27FC236}">
              <a16:creationId xmlns:a16="http://schemas.microsoft.com/office/drawing/2014/main" id="{1B252612-0E75-4D70-A9FF-A90F1AD83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101140022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77</xdr:row>
      <xdr:rowOff>60722</xdr:rowOff>
    </xdr:from>
    <xdr:to>
      <xdr:col>0</xdr:col>
      <xdr:colOff>2066925</xdr:colOff>
      <xdr:row>77</xdr:row>
      <xdr:rowOff>1282303</xdr:rowOff>
    </xdr:to>
    <xdr:pic>
      <xdr:nvPicPr>
        <xdr:cNvPr id="155" name="Picture 154" descr="Insight Picture 154">
          <a:extLst>
            <a:ext uri="{FF2B5EF4-FFF2-40B4-BE49-F238E27FC236}">
              <a16:creationId xmlns:a16="http://schemas.microsoft.com/office/drawing/2014/main" id="{438D8CD4-C8AD-4FBF-92DD-59A70CD65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02483047"/>
          <a:ext cx="16573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78</xdr:row>
      <xdr:rowOff>60722</xdr:rowOff>
    </xdr:from>
    <xdr:to>
      <xdr:col>0</xdr:col>
      <xdr:colOff>1820466</xdr:colOff>
      <xdr:row>78</xdr:row>
      <xdr:rowOff>1282303</xdr:rowOff>
    </xdr:to>
    <xdr:pic>
      <xdr:nvPicPr>
        <xdr:cNvPr id="157" name="Picture 156" descr="Insight Picture 156">
          <a:extLst>
            <a:ext uri="{FF2B5EF4-FFF2-40B4-BE49-F238E27FC236}">
              <a16:creationId xmlns:a16="http://schemas.microsoft.com/office/drawing/2014/main" id="{5AB95C7C-49FE-459C-88D8-91A60C8C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103826072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516731</xdr:colOff>
      <xdr:row>79</xdr:row>
      <xdr:rowOff>60722</xdr:rowOff>
    </xdr:from>
    <xdr:to>
      <xdr:col>0</xdr:col>
      <xdr:colOff>1959769</xdr:colOff>
      <xdr:row>79</xdr:row>
      <xdr:rowOff>1282303</xdr:rowOff>
    </xdr:to>
    <xdr:pic>
      <xdr:nvPicPr>
        <xdr:cNvPr id="159" name="Picture 158" descr="Insight Picture 158">
          <a:extLst>
            <a:ext uri="{FF2B5EF4-FFF2-40B4-BE49-F238E27FC236}">
              <a16:creationId xmlns:a16="http://schemas.microsoft.com/office/drawing/2014/main" id="{A9C8DD6A-4229-46CB-BA0B-1C5B31B68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731" y="105169097"/>
          <a:ext cx="14430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645319</xdr:colOff>
      <xdr:row>80</xdr:row>
      <xdr:rowOff>60722</xdr:rowOff>
    </xdr:from>
    <xdr:to>
      <xdr:col>0</xdr:col>
      <xdr:colOff>1831182</xdr:colOff>
      <xdr:row>80</xdr:row>
      <xdr:rowOff>1282303</xdr:rowOff>
    </xdr:to>
    <xdr:pic>
      <xdr:nvPicPr>
        <xdr:cNvPr id="161" name="Picture 160" descr="Insight Picture 160">
          <a:extLst>
            <a:ext uri="{FF2B5EF4-FFF2-40B4-BE49-F238E27FC236}">
              <a16:creationId xmlns:a16="http://schemas.microsoft.com/office/drawing/2014/main" id="{EB5C65F3-3089-4692-A30D-5FD6ED047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319" y="106512122"/>
          <a:ext cx="11858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463153</xdr:colOff>
      <xdr:row>81</xdr:row>
      <xdr:rowOff>60722</xdr:rowOff>
    </xdr:from>
    <xdr:to>
      <xdr:col>0</xdr:col>
      <xdr:colOff>2013347</xdr:colOff>
      <xdr:row>81</xdr:row>
      <xdr:rowOff>1282303</xdr:rowOff>
    </xdr:to>
    <xdr:pic>
      <xdr:nvPicPr>
        <xdr:cNvPr id="163" name="Picture 162" descr="Insight Picture 162">
          <a:extLst>
            <a:ext uri="{FF2B5EF4-FFF2-40B4-BE49-F238E27FC236}">
              <a16:creationId xmlns:a16="http://schemas.microsoft.com/office/drawing/2014/main" id="{B439E60B-98C0-4C1E-AB1E-49472690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" y="107855147"/>
          <a:ext cx="15501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82</xdr:row>
      <xdr:rowOff>60722</xdr:rowOff>
    </xdr:from>
    <xdr:to>
      <xdr:col>0</xdr:col>
      <xdr:colOff>1841897</xdr:colOff>
      <xdr:row>82</xdr:row>
      <xdr:rowOff>1282303</xdr:rowOff>
    </xdr:to>
    <xdr:pic>
      <xdr:nvPicPr>
        <xdr:cNvPr id="165" name="Picture 164" descr="Insight Picture 164">
          <a:extLst>
            <a:ext uri="{FF2B5EF4-FFF2-40B4-BE49-F238E27FC236}">
              <a16:creationId xmlns:a16="http://schemas.microsoft.com/office/drawing/2014/main" id="{27F36F83-BE6C-4ECA-87B4-117FC2AD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109198172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616744</xdr:colOff>
      <xdr:row>83</xdr:row>
      <xdr:rowOff>60722</xdr:rowOff>
    </xdr:from>
    <xdr:to>
      <xdr:col>0</xdr:col>
      <xdr:colOff>1859757</xdr:colOff>
      <xdr:row>83</xdr:row>
      <xdr:rowOff>1282303</xdr:rowOff>
    </xdr:to>
    <xdr:pic>
      <xdr:nvPicPr>
        <xdr:cNvPr id="167" name="Picture 166" descr="Insight Picture 166">
          <a:extLst>
            <a:ext uri="{FF2B5EF4-FFF2-40B4-BE49-F238E27FC236}">
              <a16:creationId xmlns:a16="http://schemas.microsoft.com/office/drawing/2014/main" id="{16DF8043-BAF8-407D-A0E4-D5337C8F5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4" y="110541197"/>
          <a:ext cx="12430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84</xdr:row>
      <xdr:rowOff>60722</xdr:rowOff>
    </xdr:from>
    <xdr:to>
      <xdr:col>0</xdr:col>
      <xdr:colOff>1852613</xdr:colOff>
      <xdr:row>84</xdr:row>
      <xdr:rowOff>1282303</xdr:rowOff>
    </xdr:to>
    <xdr:pic>
      <xdr:nvPicPr>
        <xdr:cNvPr id="169" name="Picture 168" descr="Insight Picture 168">
          <a:extLst>
            <a:ext uri="{FF2B5EF4-FFF2-40B4-BE49-F238E27FC236}">
              <a16:creationId xmlns:a16="http://schemas.microsoft.com/office/drawing/2014/main" id="{B9234AA9-CE72-419A-9F87-D1CBB362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118842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463153</xdr:colOff>
      <xdr:row>85</xdr:row>
      <xdr:rowOff>60722</xdr:rowOff>
    </xdr:from>
    <xdr:to>
      <xdr:col>0</xdr:col>
      <xdr:colOff>2013347</xdr:colOff>
      <xdr:row>85</xdr:row>
      <xdr:rowOff>1282303</xdr:rowOff>
    </xdr:to>
    <xdr:pic>
      <xdr:nvPicPr>
        <xdr:cNvPr id="171" name="Picture 170" descr="Insight Picture 170">
          <a:extLst>
            <a:ext uri="{FF2B5EF4-FFF2-40B4-BE49-F238E27FC236}">
              <a16:creationId xmlns:a16="http://schemas.microsoft.com/office/drawing/2014/main" id="{33301AC5-A708-48BC-9E01-25DE6C2B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153" y="113227247"/>
          <a:ext cx="15501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563165</xdr:colOff>
      <xdr:row>86</xdr:row>
      <xdr:rowOff>60722</xdr:rowOff>
    </xdr:from>
    <xdr:to>
      <xdr:col>0</xdr:col>
      <xdr:colOff>1913334</xdr:colOff>
      <xdr:row>86</xdr:row>
      <xdr:rowOff>1282303</xdr:rowOff>
    </xdr:to>
    <xdr:pic>
      <xdr:nvPicPr>
        <xdr:cNvPr id="173" name="Picture 172" descr="Insight Picture 172">
          <a:extLst>
            <a:ext uri="{FF2B5EF4-FFF2-40B4-BE49-F238E27FC236}">
              <a16:creationId xmlns:a16="http://schemas.microsoft.com/office/drawing/2014/main" id="{020E9678-3ECD-46E6-95E1-E78F8546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65" y="114570272"/>
          <a:ext cx="13501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87</xdr:row>
      <xdr:rowOff>60722</xdr:rowOff>
    </xdr:from>
    <xdr:to>
      <xdr:col>0</xdr:col>
      <xdr:colOff>1820466</xdr:colOff>
      <xdr:row>87</xdr:row>
      <xdr:rowOff>1282303</xdr:rowOff>
    </xdr:to>
    <xdr:pic>
      <xdr:nvPicPr>
        <xdr:cNvPr id="175" name="Picture 174" descr="Insight Picture 174">
          <a:extLst>
            <a:ext uri="{FF2B5EF4-FFF2-40B4-BE49-F238E27FC236}">
              <a16:creationId xmlns:a16="http://schemas.microsoft.com/office/drawing/2014/main" id="{2F9FA482-6EC7-4AA1-9442-E18C6BE1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11591329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88</xdr:row>
      <xdr:rowOff>60722</xdr:rowOff>
    </xdr:from>
    <xdr:to>
      <xdr:col>0</xdr:col>
      <xdr:colOff>1841897</xdr:colOff>
      <xdr:row>88</xdr:row>
      <xdr:rowOff>1282303</xdr:rowOff>
    </xdr:to>
    <xdr:pic>
      <xdr:nvPicPr>
        <xdr:cNvPr id="177" name="Picture 176" descr="Insight Picture 176">
          <a:extLst>
            <a:ext uri="{FF2B5EF4-FFF2-40B4-BE49-F238E27FC236}">
              <a16:creationId xmlns:a16="http://schemas.microsoft.com/office/drawing/2014/main" id="{36B9CC83-FB13-49AD-A96F-481A6F2D7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117256322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456010</xdr:colOff>
      <xdr:row>89</xdr:row>
      <xdr:rowOff>60722</xdr:rowOff>
    </xdr:from>
    <xdr:to>
      <xdr:col>0</xdr:col>
      <xdr:colOff>2020491</xdr:colOff>
      <xdr:row>89</xdr:row>
      <xdr:rowOff>1282303</xdr:rowOff>
    </xdr:to>
    <xdr:pic>
      <xdr:nvPicPr>
        <xdr:cNvPr id="179" name="Picture 178" descr="Insight Picture 178">
          <a:extLst>
            <a:ext uri="{FF2B5EF4-FFF2-40B4-BE49-F238E27FC236}">
              <a16:creationId xmlns:a16="http://schemas.microsoft.com/office/drawing/2014/main" id="{5A45F817-1631-4086-80D0-F56C9CB9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010" y="118599347"/>
          <a:ext cx="156448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616744</xdr:colOff>
      <xdr:row>90</xdr:row>
      <xdr:rowOff>59531</xdr:rowOff>
    </xdr:from>
    <xdr:to>
      <xdr:col>0</xdr:col>
      <xdr:colOff>1859757</xdr:colOff>
      <xdr:row>90</xdr:row>
      <xdr:rowOff>1273969</xdr:rowOff>
    </xdr:to>
    <xdr:pic>
      <xdr:nvPicPr>
        <xdr:cNvPr id="181" name="Picture 180" descr="Insight Picture 180">
          <a:extLst>
            <a:ext uri="{FF2B5EF4-FFF2-40B4-BE49-F238E27FC236}">
              <a16:creationId xmlns:a16="http://schemas.microsoft.com/office/drawing/2014/main" id="{FE58E7A9-0C6D-4ADA-8BF9-2185B1A89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4" y="119941181"/>
          <a:ext cx="1243013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588169</xdr:colOff>
      <xdr:row>91</xdr:row>
      <xdr:rowOff>60722</xdr:rowOff>
    </xdr:from>
    <xdr:to>
      <xdr:col>0</xdr:col>
      <xdr:colOff>1888332</xdr:colOff>
      <xdr:row>91</xdr:row>
      <xdr:rowOff>1282303</xdr:rowOff>
    </xdr:to>
    <xdr:pic>
      <xdr:nvPicPr>
        <xdr:cNvPr id="183" name="Picture 182" descr="Insight Picture 182">
          <a:extLst>
            <a:ext uri="{FF2B5EF4-FFF2-40B4-BE49-F238E27FC236}">
              <a16:creationId xmlns:a16="http://schemas.microsoft.com/office/drawing/2014/main" id="{3BCDC6CD-8B24-4D5E-A7D1-1EAA4E82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169" y="121275872"/>
          <a:ext cx="13001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616744</xdr:colOff>
      <xdr:row>92</xdr:row>
      <xdr:rowOff>60722</xdr:rowOff>
    </xdr:from>
    <xdr:to>
      <xdr:col>0</xdr:col>
      <xdr:colOff>1859757</xdr:colOff>
      <xdr:row>92</xdr:row>
      <xdr:rowOff>1282303</xdr:rowOff>
    </xdr:to>
    <xdr:pic>
      <xdr:nvPicPr>
        <xdr:cNvPr id="185" name="Picture 184" descr="Insight Picture 184">
          <a:extLst>
            <a:ext uri="{FF2B5EF4-FFF2-40B4-BE49-F238E27FC236}">
              <a16:creationId xmlns:a16="http://schemas.microsoft.com/office/drawing/2014/main" id="{97938F44-2583-4A26-8B9E-3FDBF209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4" y="122618897"/>
          <a:ext cx="12430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93</xdr:row>
      <xdr:rowOff>60722</xdr:rowOff>
    </xdr:from>
    <xdr:to>
      <xdr:col>0</xdr:col>
      <xdr:colOff>1845469</xdr:colOff>
      <xdr:row>93</xdr:row>
      <xdr:rowOff>1282303</xdr:rowOff>
    </xdr:to>
    <xdr:pic>
      <xdr:nvPicPr>
        <xdr:cNvPr id="187" name="Picture 186" descr="Insight Picture 186">
          <a:extLst>
            <a:ext uri="{FF2B5EF4-FFF2-40B4-BE49-F238E27FC236}">
              <a16:creationId xmlns:a16="http://schemas.microsoft.com/office/drawing/2014/main" id="{A7A45C07-F636-4A38-AF88-4BC21C8BD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123961922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94</xdr:row>
      <xdr:rowOff>60722</xdr:rowOff>
    </xdr:from>
    <xdr:to>
      <xdr:col>0</xdr:col>
      <xdr:colOff>1856184</xdr:colOff>
      <xdr:row>94</xdr:row>
      <xdr:rowOff>1282303</xdr:rowOff>
    </xdr:to>
    <xdr:pic>
      <xdr:nvPicPr>
        <xdr:cNvPr id="189" name="Picture 188" descr="Insight Picture 188">
          <a:extLst>
            <a:ext uri="{FF2B5EF4-FFF2-40B4-BE49-F238E27FC236}">
              <a16:creationId xmlns:a16="http://schemas.microsoft.com/office/drawing/2014/main" id="{A2DD8530-EEBE-4BDE-8B57-0911A8D11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125304947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566738</xdr:colOff>
      <xdr:row>95</xdr:row>
      <xdr:rowOff>60722</xdr:rowOff>
    </xdr:from>
    <xdr:to>
      <xdr:col>0</xdr:col>
      <xdr:colOff>1909763</xdr:colOff>
      <xdr:row>95</xdr:row>
      <xdr:rowOff>1282303</xdr:rowOff>
    </xdr:to>
    <xdr:pic>
      <xdr:nvPicPr>
        <xdr:cNvPr id="191" name="Picture 190" descr="Insight Picture 190">
          <a:extLst>
            <a:ext uri="{FF2B5EF4-FFF2-40B4-BE49-F238E27FC236}">
              <a16:creationId xmlns:a16="http://schemas.microsoft.com/office/drawing/2014/main" id="{7C783835-1DBA-4E3C-B633-E16CFA19B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8" y="126647972"/>
          <a:ext cx="13430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616744</xdr:colOff>
      <xdr:row>96</xdr:row>
      <xdr:rowOff>60722</xdr:rowOff>
    </xdr:from>
    <xdr:to>
      <xdr:col>0</xdr:col>
      <xdr:colOff>1859757</xdr:colOff>
      <xdr:row>96</xdr:row>
      <xdr:rowOff>1282303</xdr:rowOff>
    </xdr:to>
    <xdr:pic>
      <xdr:nvPicPr>
        <xdr:cNvPr id="193" name="Picture 192" descr="Insight Picture 192">
          <a:extLst>
            <a:ext uri="{FF2B5EF4-FFF2-40B4-BE49-F238E27FC236}">
              <a16:creationId xmlns:a16="http://schemas.microsoft.com/office/drawing/2014/main" id="{FA1AEB31-00DB-4EF1-A3B4-B28849CD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4" y="127990997"/>
          <a:ext cx="12430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97</xdr:row>
      <xdr:rowOff>60722</xdr:rowOff>
    </xdr:from>
    <xdr:to>
      <xdr:col>0</xdr:col>
      <xdr:colOff>1838325</xdr:colOff>
      <xdr:row>97</xdr:row>
      <xdr:rowOff>1282303</xdr:rowOff>
    </xdr:to>
    <xdr:pic>
      <xdr:nvPicPr>
        <xdr:cNvPr id="195" name="Picture 194" descr="Insight Picture 194">
          <a:extLst>
            <a:ext uri="{FF2B5EF4-FFF2-40B4-BE49-F238E27FC236}">
              <a16:creationId xmlns:a16="http://schemas.microsoft.com/office/drawing/2014/main" id="{8FDED96E-011C-4FFD-BAA6-3062EB10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29334022"/>
          <a:ext cx="12001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673894</xdr:colOff>
      <xdr:row>98</xdr:row>
      <xdr:rowOff>60722</xdr:rowOff>
    </xdr:from>
    <xdr:to>
      <xdr:col>0</xdr:col>
      <xdr:colOff>1802607</xdr:colOff>
      <xdr:row>98</xdr:row>
      <xdr:rowOff>1282303</xdr:rowOff>
    </xdr:to>
    <xdr:pic>
      <xdr:nvPicPr>
        <xdr:cNvPr id="197" name="Picture 196" descr="Insight Picture 196">
          <a:extLst>
            <a:ext uri="{FF2B5EF4-FFF2-40B4-BE49-F238E27FC236}">
              <a16:creationId xmlns:a16="http://schemas.microsoft.com/office/drawing/2014/main" id="{B4AC570C-3D15-41CB-A137-BE6CBA3E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894" y="130677047"/>
          <a:ext cx="11287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99</xdr:row>
      <xdr:rowOff>60722</xdr:rowOff>
    </xdr:from>
    <xdr:to>
      <xdr:col>0</xdr:col>
      <xdr:colOff>1841897</xdr:colOff>
      <xdr:row>99</xdr:row>
      <xdr:rowOff>1282303</xdr:rowOff>
    </xdr:to>
    <xdr:pic>
      <xdr:nvPicPr>
        <xdr:cNvPr id="199" name="Picture 198" descr="Insight Picture 198">
          <a:extLst>
            <a:ext uri="{FF2B5EF4-FFF2-40B4-BE49-F238E27FC236}">
              <a16:creationId xmlns:a16="http://schemas.microsoft.com/office/drawing/2014/main" id="{65489554-8062-4CE9-BAF2-9596310D8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132020072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627460</xdr:colOff>
      <xdr:row>100</xdr:row>
      <xdr:rowOff>60722</xdr:rowOff>
    </xdr:from>
    <xdr:to>
      <xdr:col>0</xdr:col>
      <xdr:colOff>1849041</xdr:colOff>
      <xdr:row>100</xdr:row>
      <xdr:rowOff>1282303</xdr:rowOff>
    </xdr:to>
    <xdr:pic>
      <xdr:nvPicPr>
        <xdr:cNvPr id="201" name="Picture 200" descr="Insight Picture 200">
          <a:extLst>
            <a:ext uri="{FF2B5EF4-FFF2-40B4-BE49-F238E27FC236}">
              <a16:creationId xmlns:a16="http://schemas.microsoft.com/office/drawing/2014/main" id="{85444F41-020D-4DDC-A354-3624EA086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460" y="133363097"/>
          <a:ext cx="122158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641747</xdr:colOff>
      <xdr:row>101</xdr:row>
      <xdr:rowOff>60722</xdr:rowOff>
    </xdr:from>
    <xdr:to>
      <xdr:col>0</xdr:col>
      <xdr:colOff>1834753</xdr:colOff>
      <xdr:row>101</xdr:row>
      <xdr:rowOff>1282303</xdr:rowOff>
    </xdr:to>
    <xdr:pic>
      <xdr:nvPicPr>
        <xdr:cNvPr id="203" name="Picture 202" descr="Insight Picture 202">
          <a:extLst>
            <a:ext uri="{FF2B5EF4-FFF2-40B4-BE49-F238E27FC236}">
              <a16:creationId xmlns:a16="http://schemas.microsoft.com/office/drawing/2014/main" id="{28FBDDCC-4228-478E-A1F9-4C304CA2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7" y="134706122"/>
          <a:ext cx="11930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491728</xdr:colOff>
      <xdr:row>102</xdr:row>
      <xdr:rowOff>60722</xdr:rowOff>
    </xdr:from>
    <xdr:to>
      <xdr:col>0</xdr:col>
      <xdr:colOff>1984772</xdr:colOff>
      <xdr:row>102</xdr:row>
      <xdr:rowOff>1282303</xdr:rowOff>
    </xdr:to>
    <xdr:pic>
      <xdr:nvPicPr>
        <xdr:cNvPr id="205" name="Picture 204" descr="Insight Picture 204">
          <a:extLst>
            <a:ext uri="{FF2B5EF4-FFF2-40B4-BE49-F238E27FC236}">
              <a16:creationId xmlns:a16="http://schemas.microsoft.com/office/drawing/2014/main" id="{52994564-84B8-4B59-A126-ADEAB9207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8" y="136049147"/>
          <a:ext cx="149304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673894</xdr:colOff>
      <xdr:row>103</xdr:row>
      <xdr:rowOff>60722</xdr:rowOff>
    </xdr:from>
    <xdr:to>
      <xdr:col>0</xdr:col>
      <xdr:colOff>1802607</xdr:colOff>
      <xdr:row>103</xdr:row>
      <xdr:rowOff>1282303</xdr:rowOff>
    </xdr:to>
    <xdr:pic>
      <xdr:nvPicPr>
        <xdr:cNvPr id="207" name="Picture 206" descr="Insight Picture 206">
          <a:extLst>
            <a:ext uri="{FF2B5EF4-FFF2-40B4-BE49-F238E27FC236}">
              <a16:creationId xmlns:a16="http://schemas.microsoft.com/office/drawing/2014/main" id="{124B16DE-9074-4136-9911-924FC52DB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894" y="137392172"/>
          <a:ext cx="112871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613172</xdr:colOff>
      <xdr:row>104</xdr:row>
      <xdr:rowOff>60722</xdr:rowOff>
    </xdr:from>
    <xdr:to>
      <xdr:col>0</xdr:col>
      <xdr:colOff>1863328</xdr:colOff>
      <xdr:row>104</xdr:row>
      <xdr:rowOff>1282303</xdr:rowOff>
    </xdr:to>
    <xdr:pic>
      <xdr:nvPicPr>
        <xdr:cNvPr id="209" name="Picture 208" descr="Insight Picture 208">
          <a:extLst>
            <a:ext uri="{FF2B5EF4-FFF2-40B4-BE49-F238E27FC236}">
              <a16:creationId xmlns:a16="http://schemas.microsoft.com/office/drawing/2014/main" id="{EADB961C-C9A0-4A06-8E6A-D42CBEA17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72" y="138735197"/>
          <a:ext cx="12501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638175</xdr:colOff>
      <xdr:row>105</xdr:row>
      <xdr:rowOff>60722</xdr:rowOff>
    </xdr:from>
    <xdr:to>
      <xdr:col>0</xdr:col>
      <xdr:colOff>1838325</xdr:colOff>
      <xdr:row>105</xdr:row>
      <xdr:rowOff>1282303</xdr:rowOff>
    </xdr:to>
    <xdr:pic>
      <xdr:nvPicPr>
        <xdr:cNvPr id="211" name="Picture 210" descr="Insight Picture 210">
          <a:extLst>
            <a:ext uri="{FF2B5EF4-FFF2-40B4-BE49-F238E27FC236}">
              <a16:creationId xmlns:a16="http://schemas.microsoft.com/office/drawing/2014/main" id="{B5A5F35B-8333-4737-8453-2341ABEF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40078222"/>
          <a:ext cx="12001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563165</xdr:colOff>
      <xdr:row>106</xdr:row>
      <xdr:rowOff>60722</xdr:rowOff>
    </xdr:from>
    <xdr:to>
      <xdr:col>0</xdr:col>
      <xdr:colOff>1913334</xdr:colOff>
      <xdr:row>106</xdr:row>
      <xdr:rowOff>1282303</xdr:rowOff>
    </xdr:to>
    <xdr:pic>
      <xdr:nvPicPr>
        <xdr:cNvPr id="213" name="Picture 212" descr="Insight Picture 212">
          <a:extLst>
            <a:ext uri="{FF2B5EF4-FFF2-40B4-BE49-F238E27FC236}">
              <a16:creationId xmlns:a16="http://schemas.microsoft.com/office/drawing/2014/main" id="{0C492A6C-936A-4283-8868-3C5CD7EB9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65" y="141421247"/>
          <a:ext cx="13501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107</xdr:row>
      <xdr:rowOff>60722</xdr:rowOff>
    </xdr:from>
    <xdr:to>
      <xdr:col>0</xdr:col>
      <xdr:colOff>1952625</xdr:colOff>
      <xdr:row>107</xdr:row>
      <xdr:rowOff>1282303</xdr:rowOff>
    </xdr:to>
    <xdr:pic>
      <xdr:nvPicPr>
        <xdr:cNvPr id="215" name="Picture 214" descr="Insight Picture 214">
          <a:extLst>
            <a:ext uri="{FF2B5EF4-FFF2-40B4-BE49-F238E27FC236}">
              <a16:creationId xmlns:a16="http://schemas.microsoft.com/office/drawing/2014/main" id="{72AE2884-66D8-406A-ABE3-27CE5E65E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42764272"/>
          <a:ext cx="14287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108</xdr:row>
      <xdr:rowOff>60722</xdr:rowOff>
    </xdr:from>
    <xdr:to>
      <xdr:col>0</xdr:col>
      <xdr:colOff>1820466</xdr:colOff>
      <xdr:row>108</xdr:row>
      <xdr:rowOff>1282303</xdr:rowOff>
    </xdr:to>
    <xdr:pic>
      <xdr:nvPicPr>
        <xdr:cNvPr id="217" name="Picture 216" descr="Insight Picture 216">
          <a:extLst>
            <a:ext uri="{FF2B5EF4-FFF2-40B4-BE49-F238E27FC236}">
              <a16:creationId xmlns:a16="http://schemas.microsoft.com/office/drawing/2014/main" id="{18DFBC06-652A-47BE-B5AE-E0C6E842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144107297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641747</xdr:colOff>
      <xdr:row>109</xdr:row>
      <xdr:rowOff>60722</xdr:rowOff>
    </xdr:from>
    <xdr:to>
      <xdr:col>0</xdr:col>
      <xdr:colOff>1834753</xdr:colOff>
      <xdr:row>109</xdr:row>
      <xdr:rowOff>1282303</xdr:rowOff>
    </xdr:to>
    <xdr:pic>
      <xdr:nvPicPr>
        <xdr:cNvPr id="219" name="Picture 218" descr="Insight Picture 218">
          <a:extLst>
            <a:ext uri="{FF2B5EF4-FFF2-40B4-BE49-F238E27FC236}">
              <a16:creationId xmlns:a16="http://schemas.microsoft.com/office/drawing/2014/main" id="{9A9CAB6C-D703-4F55-AF40-04C3A4D0E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7" y="145450322"/>
          <a:ext cx="11930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110</xdr:row>
      <xdr:rowOff>60722</xdr:rowOff>
    </xdr:from>
    <xdr:to>
      <xdr:col>0</xdr:col>
      <xdr:colOff>2295525</xdr:colOff>
      <xdr:row>110</xdr:row>
      <xdr:rowOff>1282303</xdr:rowOff>
    </xdr:to>
    <xdr:pic>
      <xdr:nvPicPr>
        <xdr:cNvPr id="221" name="Picture 220" descr="Insight Picture 220">
          <a:extLst>
            <a:ext uri="{FF2B5EF4-FFF2-40B4-BE49-F238E27FC236}">
              <a16:creationId xmlns:a16="http://schemas.microsoft.com/office/drawing/2014/main" id="{46416DAE-1D77-426D-A912-8BAC87D4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6793347"/>
          <a:ext cx="21145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702469</xdr:colOff>
      <xdr:row>111</xdr:row>
      <xdr:rowOff>60722</xdr:rowOff>
    </xdr:from>
    <xdr:to>
      <xdr:col>0</xdr:col>
      <xdr:colOff>1774032</xdr:colOff>
      <xdr:row>111</xdr:row>
      <xdr:rowOff>1282303</xdr:rowOff>
    </xdr:to>
    <xdr:pic>
      <xdr:nvPicPr>
        <xdr:cNvPr id="223" name="Picture 222" descr="Insight Picture 222">
          <a:extLst>
            <a:ext uri="{FF2B5EF4-FFF2-40B4-BE49-F238E27FC236}">
              <a16:creationId xmlns:a16="http://schemas.microsoft.com/office/drawing/2014/main" id="{06A45F28-79AA-41BC-84DC-AB76CFCF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469" y="148136372"/>
          <a:ext cx="10715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641747</xdr:colOff>
      <xdr:row>112</xdr:row>
      <xdr:rowOff>60722</xdr:rowOff>
    </xdr:from>
    <xdr:to>
      <xdr:col>0</xdr:col>
      <xdr:colOff>1834753</xdr:colOff>
      <xdr:row>112</xdr:row>
      <xdr:rowOff>1282303</xdr:rowOff>
    </xdr:to>
    <xdr:pic>
      <xdr:nvPicPr>
        <xdr:cNvPr id="225" name="Picture 224" descr="Insight Picture 224">
          <a:extLst>
            <a:ext uri="{FF2B5EF4-FFF2-40B4-BE49-F238E27FC236}">
              <a16:creationId xmlns:a16="http://schemas.microsoft.com/office/drawing/2014/main" id="{BD4D37DC-9606-4CD4-B48B-05F7A8FA0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7" y="149479397"/>
          <a:ext cx="11930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491728</xdr:colOff>
      <xdr:row>113</xdr:row>
      <xdr:rowOff>60722</xdr:rowOff>
    </xdr:from>
    <xdr:to>
      <xdr:col>0</xdr:col>
      <xdr:colOff>1984772</xdr:colOff>
      <xdr:row>113</xdr:row>
      <xdr:rowOff>1282303</xdr:rowOff>
    </xdr:to>
    <xdr:pic>
      <xdr:nvPicPr>
        <xdr:cNvPr id="227" name="Picture 226" descr="Insight Picture 226">
          <a:extLst>
            <a:ext uri="{FF2B5EF4-FFF2-40B4-BE49-F238E27FC236}">
              <a16:creationId xmlns:a16="http://schemas.microsoft.com/office/drawing/2014/main" id="{4ABA48D0-1F0D-4C84-8D9F-01D97D88A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8" y="150822422"/>
          <a:ext cx="149304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114</xdr:row>
      <xdr:rowOff>60722</xdr:rowOff>
    </xdr:from>
    <xdr:to>
      <xdr:col>0</xdr:col>
      <xdr:colOff>1856184</xdr:colOff>
      <xdr:row>114</xdr:row>
      <xdr:rowOff>1282303</xdr:rowOff>
    </xdr:to>
    <xdr:pic>
      <xdr:nvPicPr>
        <xdr:cNvPr id="229" name="Picture 228" descr="Insight Picture 228">
          <a:extLst>
            <a:ext uri="{FF2B5EF4-FFF2-40B4-BE49-F238E27FC236}">
              <a16:creationId xmlns:a16="http://schemas.microsoft.com/office/drawing/2014/main" id="{2BF85F6F-B309-46F5-9876-0378A1D7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152165447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115</xdr:row>
      <xdr:rowOff>60722</xdr:rowOff>
    </xdr:from>
    <xdr:to>
      <xdr:col>0</xdr:col>
      <xdr:colOff>1852613</xdr:colOff>
      <xdr:row>115</xdr:row>
      <xdr:rowOff>1282303</xdr:rowOff>
    </xdr:to>
    <xdr:pic>
      <xdr:nvPicPr>
        <xdr:cNvPr id="231" name="Picture 230" descr="Insight Picture 230">
          <a:extLst>
            <a:ext uri="{FF2B5EF4-FFF2-40B4-BE49-F238E27FC236}">
              <a16:creationId xmlns:a16="http://schemas.microsoft.com/office/drawing/2014/main" id="{BFAB74EC-6944-4EE7-9574-ED1BAF428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5350847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448865</xdr:colOff>
      <xdr:row>116</xdr:row>
      <xdr:rowOff>60722</xdr:rowOff>
    </xdr:from>
    <xdr:to>
      <xdr:col>0</xdr:col>
      <xdr:colOff>2027634</xdr:colOff>
      <xdr:row>116</xdr:row>
      <xdr:rowOff>1282303</xdr:rowOff>
    </xdr:to>
    <xdr:pic>
      <xdr:nvPicPr>
        <xdr:cNvPr id="233" name="Picture 232" descr="Insight Picture 232">
          <a:extLst>
            <a:ext uri="{FF2B5EF4-FFF2-40B4-BE49-F238E27FC236}">
              <a16:creationId xmlns:a16="http://schemas.microsoft.com/office/drawing/2014/main" id="{0332CF21-813F-4CF7-BA15-190271CC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865" y="154851497"/>
          <a:ext cx="15787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563165</xdr:colOff>
      <xdr:row>117</xdr:row>
      <xdr:rowOff>60722</xdr:rowOff>
    </xdr:from>
    <xdr:to>
      <xdr:col>0</xdr:col>
      <xdr:colOff>1913334</xdr:colOff>
      <xdr:row>117</xdr:row>
      <xdr:rowOff>1282303</xdr:rowOff>
    </xdr:to>
    <xdr:pic>
      <xdr:nvPicPr>
        <xdr:cNvPr id="235" name="Picture 234" descr="Insight Picture 234">
          <a:extLst>
            <a:ext uri="{FF2B5EF4-FFF2-40B4-BE49-F238E27FC236}">
              <a16:creationId xmlns:a16="http://schemas.microsoft.com/office/drawing/2014/main" id="{34B74D6B-F0B3-4BAD-BAD9-61CA33DF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65" y="156194522"/>
          <a:ext cx="13501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598885</xdr:colOff>
      <xdr:row>118</xdr:row>
      <xdr:rowOff>60722</xdr:rowOff>
    </xdr:from>
    <xdr:to>
      <xdr:col>0</xdr:col>
      <xdr:colOff>1877616</xdr:colOff>
      <xdr:row>118</xdr:row>
      <xdr:rowOff>1282303</xdr:rowOff>
    </xdr:to>
    <xdr:pic>
      <xdr:nvPicPr>
        <xdr:cNvPr id="237" name="Picture 236" descr="Insight Picture 236">
          <a:extLst>
            <a:ext uri="{FF2B5EF4-FFF2-40B4-BE49-F238E27FC236}">
              <a16:creationId xmlns:a16="http://schemas.microsoft.com/office/drawing/2014/main" id="{C45E5BEE-8062-4FD1-A103-CD007B975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885" y="157537547"/>
          <a:ext cx="12787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563165</xdr:colOff>
      <xdr:row>119</xdr:row>
      <xdr:rowOff>59531</xdr:rowOff>
    </xdr:from>
    <xdr:to>
      <xdr:col>0</xdr:col>
      <xdr:colOff>1913334</xdr:colOff>
      <xdr:row>119</xdr:row>
      <xdr:rowOff>1273969</xdr:rowOff>
    </xdr:to>
    <xdr:pic>
      <xdr:nvPicPr>
        <xdr:cNvPr id="239" name="Picture 238" descr="Insight Picture 238">
          <a:extLst>
            <a:ext uri="{FF2B5EF4-FFF2-40B4-BE49-F238E27FC236}">
              <a16:creationId xmlns:a16="http://schemas.microsoft.com/office/drawing/2014/main" id="{870C6C55-8F98-4E1C-AB6B-8752B006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65" y="158879381"/>
          <a:ext cx="1350169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656035</xdr:colOff>
      <xdr:row>120</xdr:row>
      <xdr:rowOff>60722</xdr:rowOff>
    </xdr:from>
    <xdr:to>
      <xdr:col>0</xdr:col>
      <xdr:colOff>1820466</xdr:colOff>
      <xdr:row>120</xdr:row>
      <xdr:rowOff>1282303</xdr:rowOff>
    </xdr:to>
    <xdr:pic>
      <xdr:nvPicPr>
        <xdr:cNvPr id="241" name="Picture 240" descr="Insight Picture 240">
          <a:extLst>
            <a:ext uri="{FF2B5EF4-FFF2-40B4-BE49-F238E27FC236}">
              <a16:creationId xmlns:a16="http://schemas.microsoft.com/office/drawing/2014/main" id="{D7B58561-25D9-45FC-BADB-6477E6A4F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35" y="160214072"/>
          <a:ext cx="116443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613172</xdr:colOff>
      <xdr:row>121</xdr:row>
      <xdr:rowOff>60722</xdr:rowOff>
    </xdr:from>
    <xdr:to>
      <xdr:col>0</xdr:col>
      <xdr:colOff>1863328</xdr:colOff>
      <xdr:row>121</xdr:row>
      <xdr:rowOff>1282303</xdr:rowOff>
    </xdr:to>
    <xdr:pic>
      <xdr:nvPicPr>
        <xdr:cNvPr id="243" name="Picture 242" descr="Insight Picture 242">
          <a:extLst>
            <a:ext uri="{FF2B5EF4-FFF2-40B4-BE49-F238E27FC236}">
              <a16:creationId xmlns:a16="http://schemas.microsoft.com/office/drawing/2014/main" id="{45EF0243-B19D-42A5-9F02-560E587E0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72" y="161557097"/>
          <a:ext cx="12501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513160</xdr:colOff>
      <xdr:row>122</xdr:row>
      <xdr:rowOff>59531</xdr:rowOff>
    </xdr:from>
    <xdr:to>
      <xdr:col>0</xdr:col>
      <xdr:colOff>1963341</xdr:colOff>
      <xdr:row>122</xdr:row>
      <xdr:rowOff>1273969</xdr:rowOff>
    </xdr:to>
    <xdr:pic>
      <xdr:nvPicPr>
        <xdr:cNvPr id="245" name="Picture 244" descr="Insight Picture 244">
          <a:extLst>
            <a:ext uri="{FF2B5EF4-FFF2-40B4-BE49-F238E27FC236}">
              <a16:creationId xmlns:a16="http://schemas.microsoft.com/office/drawing/2014/main" id="{7359D70A-5F04-4C4B-9CA8-30151144C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160" y="162898931"/>
          <a:ext cx="1450181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123</xdr:row>
      <xdr:rowOff>60722</xdr:rowOff>
    </xdr:from>
    <xdr:to>
      <xdr:col>0</xdr:col>
      <xdr:colOff>1856184</xdr:colOff>
      <xdr:row>123</xdr:row>
      <xdr:rowOff>1282303</xdr:rowOff>
    </xdr:to>
    <xdr:pic>
      <xdr:nvPicPr>
        <xdr:cNvPr id="247" name="Picture 246" descr="Insight Picture 246">
          <a:extLst>
            <a:ext uri="{FF2B5EF4-FFF2-40B4-BE49-F238E27FC236}">
              <a16:creationId xmlns:a16="http://schemas.microsoft.com/office/drawing/2014/main" id="{E87F0AC4-D4DA-45B9-B9F6-7A308816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164233622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124</xdr:row>
      <xdr:rowOff>60722</xdr:rowOff>
    </xdr:from>
    <xdr:to>
      <xdr:col>0</xdr:col>
      <xdr:colOff>1952625</xdr:colOff>
      <xdr:row>124</xdr:row>
      <xdr:rowOff>1282303</xdr:rowOff>
    </xdr:to>
    <xdr:pic>
      <xdr:nvPicPr>
        <xdr:cNvPr id="249" name="Picture 248" descr="Insight Picture 248">
          <a:extLst>
            <a:ext uri="{FF2B5EF4-FFF2-40B4-BE49-F238E27FC236}">
              <a16:creationId xmlns:a16="http://schemas.microsoft.com/office/drawing/2014/main" id="{CD7812FF-A508-469A-91D6-39212E1BF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" y="165576647"/>
          <a:ext cx="14287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613172</xdr:colOff>
      <xdr:row>125</xdr:row>
      <xdr:rowOff>60722</xdr:rowOff>
    </xdr:from>
    <xdr:to>
      <xdr:col>0</xdr:col>
      <xdr:colOff>1863328</xdr:colOff>
      <xdr:row>125</xdr:row>
      <xdr:rowOff>1282303</xdr:rowOff>
    </xdr:to>
    <xdr:pic>
      <xdr:nvPicPr>
        <xdr:cNvPr id="251" name="Picture 250" descr="Insight Picture 250">
          <a:extLst>
            <a:ext uri="{FF2B5EF4-FFF2-40B4-BE49-F238E27FC236}">
              <a16:creationId xmlns:a16="http://schemas.microsoft.com/office/drawing/2014/main" id="{90D6D7E5-2F95-4E12-B8B8-2CDFEF3E7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72" y="166919672"/>
          <a:ext cx="125015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126</xdr:row>
      <xdr:rowOff>60722</xdr:rowOff>
    </xdr:from>
    <xdr:to>
      <xdr:col>0</xdr:col>
      <xdr:colOff>1852613</xdr:colOff>
      <xdr:row>126</xdr:row>
      <xdr:rowOff>1282303</xdr:rowOff>
    </xdr:to>
    <xdr:pic>
      <xdr:nvPicPr>
        <xdr:cNvPr id="253" name="Picture 252" descr="Insight Picture 252">
          <a:extLst>
            <a:ext uri="{FF2B5EF4-FFF2-40B4-BE49-F238E27FC236}">
              <a16:creationId xmlns:a16="http://schemas.microsoft.com/office/drawing/2014/main" id="{E73667FA-2AF6-450A-B086-C4946F81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68262697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127</xdr:row>
      <xdr:rowOff>60722</xdr:rowOff>
    </xdr:from>
    <xdr:to>
      <xdr:col>0</xdr:col>
      <xdr:colOff>2066925</xdr:colOff>
      <xdr:row>127</xdr:row>
      <xdr:rowOff>1282303</xdr:rowOff>
    </xdr:to>
    <xdr:pic>
      <xdr:nvPicPr>
        <xdr:cNvPr id="255" name="Picture 254" descr="Insight Picture 254">
          <a:extLst>
            <a:ext uri="{FF2B5EF4-FFF2-40B4-BE49-F238E27FC236}">
              <a16:creationId xmlns:a16="http://schemas.microsoft.com/office/drawing/2014/main" id="{C81FEFE3-64AE-4F14-8C65-5EEB8739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69605722"/>
          <a:ext cx="1657350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641747</xdr:colOff>
      <xdr:row>128</xdr:row>
      <xdr:rowOff>60722</xdr:rowOff>
    </xdr:from>
    <xdr:to>
      <xdr:col>0</xdr:col>
      <xdr:colOff>1834753</xdr:colOff>
      <xdr:row>128</xdr:row>
      <xdr:rowOff>1282303</xdr:rowOff>
    </xdr:to>
    <xdr:pic>
      <xdr:nvPicPr>
        <xdr:cNvPr id="257" name="Picture 256" descr="Insight Picture 256">
          <a:extLst>
            <a:ext uri="{FF2B5EF4-FFF2-40B4-BE49-F238E27FC236}">
              <a16:creationId xmlns:a16="http://schemas.microsoft.com/office/drawing/2014/main" id="{047896E9-5CF0-484B-8DE5-A9BFA97D2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747" y="170948747"/>
          <a:ext cx="1193006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595313</xdr:colOff>
      <xdr:row>129</xdr:row>
      <xdr:rowOff>60722</xdr:rowOff>
    </xdr:from>
    <xdr:to>
      <xdr:col>0</xdr:col>
      <xdr:colOff>1881188</xdr:colOff>
      <xdr:row>129</xdr:row>
      <xdr:rowOff>1282303</xdr:rowOff>
    </xdr:to>
    <xdr:pic>
      <xdr:nvPicPr>
        <xdr:cNvPr id="259" name="Picture 258" descr="Insight Picture 258">
          <a:extLst>
            <a:ext uri="{FF2B5EF4-FFF2-40B4-BE49-F238E27FC236}">
              <a16:creationId xmlns:a16="http://schemas.microsoft.com/office/drawing/2014/main" id="{A17C8D90-EC73-406B-B561-EB1725543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3" y="172291772"/>
          <a:ext cx="128587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416718</xdr:colOff>
      <xdr:row>130</xdr:row>
      <xdr:rowOff>60722</xdr:rowOff>
    </xdr:from>
    <xdr:to>
      <xdr:col>0</xdr:col>
      <xdr:colOff>2059781</xdr:colOff>
      <xdr:row>130</xdr:row>
      <xdr:rowOff>1282303</xdr:rowOff>
    </xdr:to>
    <xdr:pic>
      <xdr:nvPicPr>
        <xdr:cNvPr id="261" name="Picture 260" descr="Insight Picture 260">
          <a:extLst>
            <a:ext uri="{FF2B5EF4-FFF2-40B4-BE49-F238E27FC236}">
              <a16:creationId xmlns:a16="http://schemas.microsoft.com/office/drawing/2014/main" id="{484F041E-ED1C-4CEB-9CAA-AB3A73123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8" y="173634797"/>
          <a:ext cx="1643063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395288</xdr:colOff>
      <xdr:row>131</xdr:row>
      <xdr:rowOff>60722</xdr:rowOff>
    </xdr:from>
    <xdr:to>
      <xdr:col>0</xdr:col>
      <xdr:colOff>2081213</xdr:colOff>
      <xdr:row>131</xdr:row>
      <xdr:rowOff>1282303</xdr:rowOff>
    </xdr:to>
    <xdr:pic>
      <xdr:nvPicPr>
        <xdr:cNvPr id="263" name="Picture 262" descr="Insight Picture 262">
          <a:extLst>
            <a:ext uri="{FF2B5EF4-FFF2-40B4-BE49-F238E27FC236}">
              <a16:creationId xmlns:a16="http://schemas.microsoft.com/office/drawing/2014/main" id="{A431A770-83F9-48C1-ADEB-99B62E70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8" y="174977822"/>
          <a:ext cx="16859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631031</xdr:colOff>
      <xdr:row>132</xdr:row>
      <xdr:rowOff>60722</xdr:rowOff>
    </xdr:from>
    <xdr:to>
      <xdr:col>0</xdr:col>
      <xdr:colOff>1845469</xdr:colOff>
      <xdr:row>132</xdr:row>
      <xdr:rowOff>1282303</xdr:rowOff>
    </xdr:to>
    <xdr:pic>
      <xdr:nvPicPr>
        <xdr:cNvPr id="265" name="Picture 264" descr="Insight Picture 264">
          <a:extLst>
            <a:ext uri="{FF2B5EF4-FFF2-40B4-BE49-F238E27FC236}">
              <a16:creationId xmlns:a16="http://schemas.microsoft.com/office/drawing/2014/main" id="{F56DD96B-57F2-4DBB-A5D4-06475371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031" y="176320847"/>
          <a:ext cx="1214438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491728</xdr:colOff>
      <xdr:row>133</xdr:row>
      <xdr:rowOff>60722</xdr:rowOff>
    </xdr:from>
    <xdr:to>
      <xdr:col>0</xdr:col>
      <xdr:colOff>1984772</xdr:colOff>
      <xdr:row>133</xdr:row>
      <xdr:rowOff>1282303</xdr:rowOff>
    </xdr:to>
    <xdr:pic>
      <xdr:nvPicPr>
        <xdr:cNvPr id="267" name="Picture 266" descr="Insight Picture 266">
          <a:extLst>
            <a:ext uri="{FF2B5EF4-FFF2-40B4-BE49-F238E27FC236}">
              <a16:creationId xmlns:a16="http://schemas.microsoft.com/office/drawing/2014/main" id="{D4A61830-16C5-4968-9390-DECD4A05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728" y="177663872"/>
          <a:ext cx="149304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134</xdr:row>
      <xdr:rowOff>60722</xdr:rowOff>
    </xdr:from>
    <xdr:to>
      <xdr:col>0</xdr:col>
      <xdr:colOff>1856184</xdr:colOff>
      <xdr:row>134</xdr:row>
      <xdr:rowOff>1282303</xdr:rowOff>
    </xdr:to>
    <xdr:pic>
      <xdr:nvPicPr>
        <xdr:cNvPr id="269" name="Picture 268" descr="Insight Picture 268">
          <a:extLst>
            <a:ext uri="{FF2B5EF4-FFF2-40B4-BE49-F238E27FC236}">
              <a16:creationId xmlns:a16="http://schemas.microsoft.com/office/drawing/2014/main" id="{1A0D0D68-B3BD-4B78-98AE-E316804DD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179006897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648890</xdr:colOff>
      <xdr:row>135</xdr:row>
      <xdr:rowOff>60722</xdr:rowOff>
    </xdr:from>
    <xdr:to>
      <xdr:col>0</xdr:col>
      <xdr:colOff>1827609</xdr:colOff>
      <xdr:row>135</xdr:row>
      <xdr:rowOff>1282303</xdr:rowOff>
    </xdr:to>
    <xdr:pic>
      <xdr:nvPicPr>
        <xdr:cNvPr id="271" name="Picture 270" descr="Insight Picture 270">
          <a:extLst>
            <a:ext uri="{FF2B5EF4-FFF2-40B4-BE49-F238E27FC236}">
              <a16:creationId xmlns:a16="http://schemas.microsoft.com/office/drawing/2014/main" id="{9AB1BBEA-0A39-4210-81CF-F6F39593C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890" y="180349922"/>
          <a:ext cx="117871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634603</xdr:colOff>
      <xdr:row>136</xdr:row>
      <xdr:rowOff>60722</xdr:rowOff>
    </xdr:from>
    <xdr:to>
      <xdr:col>0</xdr:col>
      <xdr:colOff>1841897</xdr:colOff>
      <xdr:row>136</xdr:row>
      <xdr:rowOff>1282303</xdr:rowOff>
    </xdr:to>
    <xdr:pic>
      <xdr:nvPicPr>
        <xdr:cNvPr id="273" name="Picture 272" descr="Insight Picture 272">
          <a:extLst>
            <a:ext uri="{FF2B5EF4-FFF2-40B4-BE49-F238E27FC236}">
              <a16:creationId xmlns:a16="http://schemas.microsoft.com/office/drawing/2014/main" id="{4B76D036-B2BE-42B9-AB48-256795E00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603" y="181692947"/>
          <a:ext cx="1207294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620315</xdr:colOff>
      <xdr:row>137</xdr:row>
      <xdr:rowOff>60722</xdr:rowOff>
    </xdr:from>
    <xdr:to>
      <xdr:col>0</xdr:col>
      <xdr:colOff>1856184</xdr:colOff>
      <xdr:row>137</xdr:row>
      <xdr:rowOff>1282303</xdr:rowOff>
    </xdr:to>
    <xdr:pic>
      <xdr:nvPicPr>
        <xdr:cNvPr id="275" name="Picture 274" descr="Insight Picture 274">
          <a:extLst>
            <a:ext uri="{FF2B5EF4-FFF2-40B4-BE49-F238E27FC236}">
              <a16:creationId xmlns:a16="http://schemas.microsoft.com/office/drawing/2014/main" id="{C53DC4BF-A1CC-4E2D-AC7D-0812B94C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315" y="183035972"/>
          <a:ext cx="1235869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627460</xdr:colOff>
      <xdr:row>138</xdr:row>
      <xdr:rowOff>60722</xdr:rowOff>
    </xdr:from>
    <xdr:to>
      <xdr:col>0</xdr:col>
      <xdr:colOff>1849041</xdr:colOff>
      <xdr:row>138</xdr:row>
      <xdr:rowOff>1282303</xdr:rowOff>
    </xdr:to>
    <xdr:pic>
      <xdr:nvPicPr>
        <xdr:cNvPr id="277" name="Picture 276" descr="Insight Picture 276">
          <a:extLst>
            <a:ext uri="{FF2B5EF4-FFF2-40B4-BE49-F238E27FC236}">
              <a16:creationId xmlns:a16="http://schemas.microsoft.com/office/drawing/2014/main" id="{BF012440-9986-4BE0-94C1-C125B7118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460" y="184378997"/>
          <a:ext cx="1221581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563165</xdr:colOff>
      <xdr:row>139</xdr:row>
      <xdr:rowOff>59531</xdr:rowOff>
    </xdr:from>
    <xdr:to>
      <xdr:col>0</xdr:col>
      <xdr:colOff>1913334</xdr:colOff>
      <xdr:row>139</xdr:row>
      <xdr:rowOff>1273969</xdr:rowOff>
    </xdr:to>
    <xdr:pic>
      <xdr:nvPicPr>
        <xdr:cNvPr id="279" name="Picture 278" descr="Insight Picture 278">
          <a:extLst>
            <a:ext uri="{FF2B5EF4-FFF2-40B4-BE49-F238E27FC236}">
              <a16:creationId xmlns:a16="http://schemas.microsoft.com/office/drawing/2014/main" id="{7B5F5FB7-89B4-4BB1-9F6E-A0478DEE8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165" y="185720831"/>
          <a:ext cx="1350169" cy="1214438"/>
        </a:xfrm>
        <a:prstGeom prst="rect">
          <a:avLst/>
        </a:prstGeom>
      </xdr:spPr>
    </xdr:pic>
    <xdr:clientData/>
  </xdr:twoCellAnchor>
  <xdr:twoCellAnchor editAs="oneCell">
    <xdr:from>
      <xdr:col>0</xdr:col>
      <xdr:colOff>623888</xdr:colOff>
      <xdr:row>140</xdr:row>
      <xdr:rowOff>60722</xdr:rowOff>
    </xdr:from>
    <xdr:to>
      <xdr:col>0</xdr:col>
      <xdr:colOff>1852613</xdr:colOff>
      <xdr:row>140</xdr:row>
      <xdr:rowOff>1282303</xdr:rowOff>
    </xdr:to>
    <xdr:pic>
      <xdr:nvPicPr>
        <xdr:cNvPr id="281" name="Picture 280" descr="Insight Picture 280">
          <a:extLst>
            <a:ext uri="{FF2B5EF4-FFF2-40B4-BE49-F238E27FC236}">
              <a16:creationId xmlns:a16="http://schemas.microsoft.com/office/drawing/2014/main" id="{A97650E1-30F5-40F0-BDA6-7989D734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8" y="187055522"/>
          <a:ext cx="122872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538163</xdr:colOff>
      <xdr:row>141</xdr:row>
      <xdr:rowOff>60722</xdr:rowOff>
    </xdr:from>
    <xdr:to>
      <xdr:col>0</xdr:col>
      <xdr:colOff>1938338</xdr:colOff>
      <xdr:row>141</xdr:row>
      <xdr:rowOff>1282303</xdr:rowOff>
    </xdr:to>
    <xdr:pic>
      <xdr:nvPicPr>
        <xdr:cNvPr id="283" name="Picture 282" descr="Insight Picture 282">
          <a:extLst>
            <a:ext uri="{FF2B5EF4-FFF2-40B4-BE49-F238E27FC236}">
              <a16:creationId xmlns:a16="http://schemas.microsoft.com/office/drawing/2014/main" id="{C9B1A32A-C12D-4218-BF90-6B83894C6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163" y="188398547"/>
          <a:ext cx="1400175" cy="1221581"/>
        </a:xfrm>
        <a:prstGeom prst="rect">
          <a:avLst/>
        </a:prstGeom>
      </xdr:spPr>
    </xdr:pic>
    <xdr:clientData/>
  </xdr:twoCellAnchor>
  <xdr:twoCellAnchor editAs="oneCell">
    <xdr:from>
      <xdr:col>0</xdr:col>
      <xdr:colOff>584597</xdr:colOff>
      <xdr:row>142</xdr:row>
      <xdr:rowOff>60722</xdr:rowOff>
    </xdr:from>
    <xdr:to>
      <xdr:col>0</xdr:col>
      <xdr:colOff>1891903</xdr:colOff>
      <xdr:row>142</xdr:row>
      <xdr:rowOff>1282303</xdr:rowOff>
    </xdr:to>
    <xdr:pic>
      <xdr:nvPicPr>
        <xdr:cNvPr id="285" name="Picture 284" descr="Insight Picture 284">
          <a:extLst>
            <a:ext uri="{FF2B5EF4-FFF2-40B4-BE49-F238E27FC236}">
              <a16:creationId xmlns:a16="http://schemas.microsoft.com/office/drawing/2014/main" id="{1BD8D659-7980-4B31-888D-1835B9ED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597" y="189741572"/>
          <a:ext cx="1307306" cy="1221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A6AC-6FEB-4EEC-A108-4D1BE4F0B012}">
  <dimension ref="A1:I14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A1048576"/>
    </sheetView>
  </sheetViews>
  <sheetFormatPr baseColWidth="10" defaultRowHeight="15" x14ac:dyDescent="0.25"/>
  <cols>
    <col min="1" max="1" width="37.140625" customWidth="1"/>
  </cols>
  <sheetData>
    <row r="1" spans="1:9" s="2" customFormat="1" ht="30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15</v>
      </c>
    </row>
    <row r="2" spans="1:9" ht="106.15" customHeight="1" x14ac:dyDescent="0.25">
      <c r="A2" s="1" t="str">
        <f>"b2a3m"</f>
        <v>b2a3m</v>
      </c>
      <c r="B2" t="s">
        <v>2</v>
      </c>
      <c r="C2" t="s">
        <v>2</v>
      </c>
      <c r="D2">
        <v>1.2999999999999999E-3</v>
      </c>
      <c r="E2" t="s">
        <v>6</v>
      </c>
      <c r="F2">
        <v>8.8861000000000008</v>
      </c>
      <c r="G2" t="s">
        <v>9</v>
      </c>
      <c r="H2">
        <v>1</v>
      </c>
    </row>
    <row r="3" spans="1:9" ht="106.15" customHeight="1" x14ac:dyDescent="0.25">
      <c r="A3" s="1" t="str">
        <f>"b1i5c"</f>
        <v>b1i5c</v>
      </c>
      <c r="B3" t="s">
        <v>11</v>
      </c>
      <c r="C3" t="s">
        <v>11</v>
      </c>
      <c r="D3">
        <v>2E-3</v>
      </c>
      <c r="E3" t="s">
        <v>12</v>
      </c>
      <c r="F3">
        <v>8.6989999999999998</v>
      </c>
      <c r="G3" t="s">
        <v>13</v>
      </c>
      <c r="H3">
        <v>0</v>
      </c>
    </row>
    <row r="4" spans="1:9" ht="106.15" customHeight="1" x14ac:dyDescent="0.25">
      <c r="A4" s="1" t="str">
        <f>"b1i5k"</f>
        <v>b1i5k</v>
      </c>
      <c r="B4" t="s">
        <v>14</v>
      </c>
      <c r="C4" t="s">
        <v>14</v>
      </c>
      <c r="D4">
        <v>2E-3</v>
      </c>
      <c r="E4" t="s">
        <v>12</v>
      </c>
      <c r="F4">
        <v>8.6989999999999998</v>
      </c>
      <c r="G4" t="s">
        <v>13</v>
      </c>
      <c r="H4">
        <v>0</v>
      </c>
      <c r="I4" t="s">
        <v>16</v>
      </c>
    </row>
    <row r="5" spans="1:9" ht="106.15" customHeight="1" x14ac:dyDescent="0.25">
      <c r="A5" s="1" t="str">
        <f>"b2a6d"</f>
        <v>b2a6d</v>
      </c>
      <c r="B5" t="s">
        <v>17</v>
      </c>
      <c r="C5" t="s">
        <v>17</v>
      </c>
      <c r="D5">
        <v>2E-3</v>
      </c>
      <c r="E5" t="s">
        <v>6</v>
      </c>
      <c r="F5">
        <v>8.6989999999999998</v>
      </c>
      <c r="G5" t="s">
        <v>9</v>
      </c>
      <c r="H5">
        <v>1</v>
      </c>
    </row>
    <row r="6" spans="1:9" ht="105.6" customHeight="1" x14ac:dyDescent="0.25">
      <c r="A6" s="1" t="str">
        <f>"b2a7d"</f>
        <v>b2a7d</v>
      </c>
      <c r="B6" t="s">
        <v>18</v>
      </c>
      <c r="C6" t="s">
        <v>18</v>
      </c>
      <c r="D6">
        <v>3.0000000000000001E-3</v>
      </c>
      <c r="E6" t="s">
        <v>6</v>
      </c>
      <c r="F6">
        <v>8.5228999999999999</v>
      </c>
      <c r="G6" t="s">
        <v>13</v>
      </c>
      <c r="H6">
        <v>0</v>
      </c>
      <c r="I6" t="s">
        <v>19</v>
      </c>
    </row>
    <row r="7" spans="1:9" ht="106.15" customHeight="1" x14ac:dyDescent="0.25">
      <c r="A7" s="1" t="str">
        <f>"b2a5d"</f>
        <v>b2a5d</v>
      </c>
      <c r="B7" t="s">
        <v>20</v>
      </c>
      <c r="C7" t="s">
        <v>20</v>
      </c>
      <c r="D7">
        <v>3.0000000000000001E-3</v>
      </c>
      <c r="E7" t="s">
        <v>6</v>
      </c>
      <c r="F7">
        <v>8.5228999999999999</v>
      </c>
      <c r="G7" t="s">
        <v>13</v>
      </c>
      <c r="H7">
        <v>0</v>
      </c>
    </row>
    <row r="8" spans="1:9" ht="106.15" customHeight="1" x14ac:dyDescent="0.25">
      <c r="A8" s="1" t="str">
        <f>"b3a4e"</f>
        <v>b3a4e</v>
      </c>
      <c r="B8" t="s">
        <v>21</v>
      </c>
      <c r="C8" t="s">
        <v>21</v>
      </c>
      <c r="D8">
        <v>3.0000000000000001E-3</v>
      </c>
      <c r="E8" t="s">
        <v>22</v>
      </c>
      <c r="F8">
        <v>8.5228999999999999</v>
      </c>
      <c r="G8" t="s">
        <v>13</v>
      </c>
      <c r="H8">
        <v>0</v>
      </c>
    </row>
    <row r="9" spans="1:9" ht="105.6" customHeight="1" x14ac:dyDescent="0.25">
      <c r="A9" s="1" t="str">
        <f>"b1i5j"</f>
        <v>b1i5j</v>
      </c>
      <c r="B9" t="s">
        <v>23</v>
      </c>
      <c r="C9" t="s">
        <v>23</v>
      </c>
      <c r="D9">
        <v>4.0000000000000001E-3</v>
      </c>
      <c r="E9" t="s">
        <v>12</v>
      </c>
      <c r="F9">
        <v>8.3978999999999999</v>
      </c>
      <c r="G9" t="s">
        <v>9</v>
      </c>
      <c r="H9">
        <v>1</v>
      </c>
    </row>
    <row r="10" spans="1:9" ht="106.15" customHeight="1" x14ac:dyDescent="0.25">
      <c r="A10" s="1" t="str">
        <f>"b1i5i"</f>
        <v>b1i5i</v>
      </c>
      <c r="B10" t="s">
        <v>24</v>
      </c>
      <c r="C10" t="s">
        <v>24</v>
      </c>
      <c r="D10">
        <v>4.0000000000000001E-3</v>
      </c>
      <c r="E10" t="s">
        <v>12</v>
      </c>
      <c r="F10">
        <v>8.3978999999999999</v>
      </c>
      <c r="G10" t="s">
        <v>13</v>
      </c>
      <c r="H10">
        <v>0</v>
      </c>
    </row>
    <row r="11" spans="1:9" ht="106.15" customHeight="1" x14ac:dyDescent="0.25">
      <c r="A11" s="1" t="str">
        <f>"b2a4a"</f>
        <v>b2a4a</v>
      </c>
      <c r="B11" t="s">
        <v>25</v>
      </c>
      <c r="C11" t="s">
        <v>25</v>
      </c>
      <c r="D11">
        <v>4.0000000000000001E-3</v>
      </c>
      <c r="E11" t="s">
        <v>6</v>
      </c>
      <c r="F11">
        <v>8.3978999999999999</v>
      </c>
      <c r="G11" t="s">
        <v>13</v>
      </c>
      <c r="H11">
        <v>0</v>
      </c>
    </row>
    <row r="12" spans="1:9" ht="106.15" customHeight="1" x14ac:dyDescent="0.25">
      <c r="A12" s="1" t="str">
        <f>"b1i2j"</f>
        <v>b1i2j</v>
      </c>
      <c r="B12" t="s">
        <v>26</v>
      </c>
      <c r="C12" t="s">
        <v>26</v>
      </c>
      <c r="D12">
        <v>5.0000000000000001E-3</v>
      </c>
      <c r="E12" t="s">
        <v>12</v>
      </c>
      <c r="F12">
        <v>8.3010000000000002</v>
      </c>
      <c r="G12" t="s">
        <v>13</v>
      </c>
      <c r="H12">
        <v>0</v>
      </c>
    </row>
    <row r="13" spans="1:9" ht="106.15" customHeight="1" x14ac:dyDescent="0.25">
      <c r="A13" s="1" t="str">
        <f>"b3a6b"</f>
        <v>b3a6b</v>
      </c>
      <c r="B13" t="s">
        <v>27</v>
      </c>
      <c r="C13" t="s">
        <v>27</v>
      </c>
      <c r="D13">
        <v>6.0000000000000001E-3</v>
      </c>
      <c r="E13" t="s">
        <v>22</v>
      </c>
      <c r="F13">
        <v>8.2218</v>
      </c>
      <c r="G13" t="s">
        <v>13</v>
      </c>
      <c r="H13">
        <v>0</v>
      </c>
    </row>
    <row r="14" spans="1:9" ht="105.6" customHeight="1" x14ac:dyDescent="0.25">
      <c r="A14" s="1" t="str">
        <f>"b3a4b"</f>
        <v>b3a4b</v>
      </c>
      <c r="B14" t="s">
        <v>28</v>
      </c>
      <c r="C14" t="s">
        <v>28</v>
      </c>
      <c r="D14">
        <v>6.0000000000000001E-3</v>
      </c>
      <c r="E14" t="s">
        <v>22</v>
      </c>
      <c r="F14">
        <v>8.2218</v>
      </c>
      <c r="G14" t="s">
        <v>13</v>
      </c>
      <c r="H14">
        <v>0</v>
      </c>
    </row>
    <row r="15" spans="1:9" ht="106.15" customHeight="1" x14ac:dyDescent="0.25">
      <c r="A15" s="1" t="str">
        <f>"b3a4a"</f>
        <v>b3a4a</v>
      </c>
      <c r="B15" t="s">
        <v>29</v>
      </c>
      <c r="C15" t="s">
        <v>29</v>
      </c>
      <c r="D15">
        <v>6.0000000000000001E-3</v>
      </c>
      <c r="E15" t="s">
        <v>22</v>
      </c>
      <c r="F15">
        <v>8.2218</v>
      </c>
      <c r="G15" t="s">
        <v>13</v>
      </c>
      <c r="H15">
        <v>0</v>
      </c>
    </row>
    <row r="16" spans="1:9" ht="106.7" customHeight="1" x14ac:dyDescent="0.25">
      <c r="A16" s="1" t="str">
        <f>"b1i5d"</f>
        <v>b1i5d</v>
      </c>
      <c r="B16" t="s">
        <v>30</v>
      </c>
      <c r="C16" t="s">
        <v>30</v>
      </c>
      <c r="D16">
        <v>6.0000000000000001E-3</v>
      </c>
      <c r="E16" t="s">
        <v>12</v>
      </c>
      <c r="F16">
        <v>8.2218</v>
      </c>
      <c r="G16" t="s">
        <v>13</v>
      </c>
      <c r="H16">
        <v>0</v>
      </c>
    </row>
    <row r="17" spans="1:8" ht="106.15" customHeight="1" x14ac:dyDescent="0.25">
      <c r="A17" s="1" t="str">
        <f>"b3f5g"</f>
        <v>b3f5g</v>
      </c>
      <c r="B17" t="s">
        <v>31</v>
      </c>
      <c r="C17" t="s">
        <v>31</v>
      </c>
      <c r="D17">
        <v>8.0000000000000002E-3</v>
      </c>
      <c r="E17" t="s">
        <v>22</v>
      </c>
      <c r="F17">
        <v>8.0968999999999998</v>
      </c>
      <c r="G17" t="s">
        <v>13</v>
      </c>
      <c r="H17">
        <v>0</v>
      </c>
    </row>
    <row r="18" spans="1:8" ht="106.15" customHeight="1" x14ac:dyDescent="0.25">
      <c r="A18" s="1" t="str">
        <f>"b2a5g"</f>
        <v>b2a5g</v>
      </c>
      <c r="B18" t="s">
        <v>32</v>
      </c>
      <c r="C18" t="s">
        <v>32</v>
      </c>
      <c r="D18">
        <v>8.9999999999999993E-3</v>
      </c>
      <c r="E18" t="s">
        <v>6</v>
      </c>
      <c r="F18">
        <v>8.0457999999999998</v>
      </c>
      <c r="G18" t="s">
        <v>13</v>
      </c>
      <c r="H18">
        <v>0</v>
      </c>
    </row>
    <row r="19" spans="1:8" ht="106.15" customHeight="1" x14ac:dyDescent="0.25">
      <c r="A19" s="1" t="str">
        <f>"b1i2n"</f>
        <v>b1i2n</v>
      </c>
      <c r="B19" t="s">
        <v>33</v>
      </c>
      <c r="C19" t="s">
        <v>33</v>
      </c>
      <c r="D19">
        <v>8.9999999999999993E-3</v>
      </c>
      <c r="E19" t="s">
        <v>12</v>
      </c>
      <c r="F19">
        <v>8.0457999999999998</v>
      </c>
      <c r="G19" t="s">
        <v>13</v>
      </c>
      <c r="H19">
        <v>0</v>
      </c>
    </row>
    <row r="20" spans="1:8" ht="106.15" customHeight="1" x14ac:dyDescent="0.25">
      <c r="A20" s="1" t="str">
        <f>"b3a7a"</f>
        <v>b3a7a</v>
      </c>
      <c r="B20" t="s">
        <v>34</v>
      </c>
      <c r="C20" t="s">
        <v>34</v>
      </c>
      <c r="D20">
        <v>1.0999999999999999E-2</v>
      </c>
      <c r="E20" t="s">
        <v>22</v>
      </c>
      <c r="F20">
        <v>7.9585999999999997</v>
      </c>
      <c r="G20" t="s">
        <v>13</v>
      </c>
      <c r="H20">
        <v>0</v>
      </c>
    </row>
    <row r="21" spans="1:8" ht="106.15" customHeight="1" x14ac:dyDescent="0.25">
      <c r="A21" s="1" t="str">
        <f>"b1i2l"</f>
        <v>b1i2l</v>
      </c>
      <c r="B21" t="s">
        <v>35</v>
      </c>
      <c r="C21" t="s">
        <v>35</v>
      </c>
      <c r="D21">
        <v>1.0999999999999999E-2</v>
      </c>
      <c r="E21" t="s">
        <v>12</v>
      </c>
      <c r="F21">
        <v>7.9585999999999997</v>
      </c>
      <c r="G21" t="s">
        <v>13</v>
      </c>
      <c r="H21">
        <v>0</v>
      </c>
    </row>
    <row r="22" spans="1:8" ht="106.15" customHeight="1" x14ac:dyDescent="0.25">
      <c r="A22" s="1" t="str">
        <f>"b1i5h"</f>
        <v>b1i5h</v>
      </c>
      <c r="B22" t="s">
        <v>36</v>
      </c>
      <c r="C22" t="s">
        <v>36</v>
      </c>
      <c r="D22">
        <v>1.2E-2</v>
      </c>
      <c r="E22" t="s">
        <v>12</v>
      </c>
      <c r="F22">
        <v>7.9207999999999998</v>
      </c>
      <c r="G22" t="s">
        <v>13</v>
      </c>
      <c r="H22">
        <v>0</v>
      </c>
    </row>
    <row r="23" spans="1:8" ht="106.15" customHeight="1" x14ac:dyDescent="0.25">
      <c r="A23" s="1" t="str">
        <f>"b2a3t"</f>
        <v>b2a3t</v>
      </c>
      <c r="B23" t="s">
        <v>37</v>
      </c>
      <c r="C23" t="s">
        <v>37</v>
      </c>
      <c r="D23">
        <v>1.2E-2</v>
      </c>
      <c r="E23" t="s">
        <v>6</v>
      </c>
      <c r="F23">
        <v>7.9207999999999998</v>
      </c>
      <c r="G23" t="s">
        <v>9</v>
      </c>
      <c r="H23">
        <v>1</v>
      </c>
    </row>
    <row r="24" spans="1:8" ht="106.15" customHeight="1" x14ac:dyDescent="0.25">
      <c r="A24" s="1" t="str">
        <f>"b2a3l"</f>
        <v>b2a3l</v>
      </c>
      <c r="B24" t="s">
        <v>38</v>
      </c>
      <c r="C24" t="s">
        <v>38</v>
      </c>
      <c r="D24">
        <v>1.4E-2</v>
      </c>
      <c r="E24" t="s">
        <v>6</v>
      </c>
      <c r="F24">
        <v>7.8539000000000003</v>
      </c>
      <c r="G24" t="s">
        <v>9</v>
      </c>
      <c r="H24">
        <v>1</v>
      </c>
    </row>
    <row r="25" spans="1:8" ht="106.15" customHeight="1" x14ac:dyDescent="0.25">
      <c r="A25" s="1" t="str">
        <f>"b2a6f"</f>
        <v>b2a6f</v>
      </c>
      <c r="B25" t="s">
        <v>39</v>
      </c>
      <c r="C25" t="s">
        <v>39</v>
      </c>
      <c r="D25">
        <v>1.4E-2</v>
      </c>
      <c r="E25" t="s">
        <v>6</v>
      </c>
      <c r="F25">
        <v>7.8539000000000003</v>
      </c>
      <c r="G25" t="s">
        <v>13</v>
      </c>
      <c r="H25">
        <v>0</v>
      </c>
    </row>
    <row r="26" spans="1:8" ht="106.15" customHeight="1" x14ac:dyDescent="0.25">
      <c r="A26" s="1" t="str">
        <f>"b2a5c"</f>
        <v>b2a5c</v>
      </c>
      <c r="B26" t="s">
        <v>40</v>
      </c>
      <c r="C26" t="s">
        <v>40</v>
      </c>
      <c r="D26">
        <v>1.4E-2</v>
      </c>
      <c r="E26" t="s">
        <v>6</v>
      </c>
      <c r="F26">
        <v>7.8539000000000003</v>
      </c>
      <c r="G26" t="s">
        <v>13</v>
      </c>
      <c r="H26">
        <v>0</v>
      </c>
    </row>
    <row r="27" spans="1:8" ht="106.15" customHeight="1" x14ac:dyDescent="0.25">
      <c r="A27" s="1" t="str">
        <f>"b3a4d"</f>
        <v>b3a4d</v>
      </c>
      <c r="B27" t="s">
        <v>41</v>
      </c>
      <c r="C27" t="s">
        <v>41</v>
      </c>
      <c r="D27">
        <v>1.4999999999999999E-2</v>
      </c>
      <c r="E27" t="s">
        <v>22</v>
      </c>
      <c r="F27">
        <v>7.8239000000000001</v>
      </c>
      <c r="G27" t="s">
        <v>13</v>
      </c>
      <c r="H27">
        <v>0</v>
      </c>
    </row>
    <row r="28" spans="1:8" ht="106.15" customHeight="1" x14ac:dyDescent="0.25">
      <c r="A28" s="1" t="str">
        <f>"b1i2k"</f>
        <v>b1i2k</v>
      </c>
      <c r="B28" t="s">
        <v>42</v>
      </c>
      <c r="C28" t="s">
        <v>42</v>
      </c>
      <c r="D28">
        <v>1.6E-2</v>
      </c>
      <c r="E28" t="s">
        <v>12</v>
      </c>
      <c r="F28">
        <v>7.7958999999999996</v>
      </c>
      <c r="G28" t="s">
        <v>13</v>
      </c>
      <c r="H28">
        <v>0</v>
      </c>
    </row>
    <row r="29" spans="1:8" ht="106.15" customHeight="1" x14ac:dyDescent="0.25">
      <c r="A29" s="1" t="str">
        <f>"b1i2o"</f>
        <v>b1i2o</v>
      </c>
      <c r="B29" t="s">
        <v>43</v>
      </c>
      <c r="C29" t="s">
        <v>43</v>
      </c>
      <c r="D29">
        <v>1.7999999999999999E-2</v>
      </c>
      <c r="E29" t="s">
        <v>12</v>
      </c>
      <c r="F29">
        <v>7.7446999999999999</v>
      </c>
      <c r="G29" t="s">
        <v>13</v>
      </c>
      <c r="H29">
        <v>0</v>
      </c>
    </row>
    <row r="30" spans="1:8" ht="106.15" customHeight="1" x14ac:dyDescent="0.25">
      <c r="A30" s="1" t="str">
        <f>"b1i4f"</f>
        <v>b1i4f</v>
      </c>
      <c r="B30" t="s">
        <v>44</v>
      </c>
      <c r="C30" t="s">
        <v>44</v>
      </c>
      <c r="D30">
        <v>0.02</v>
      </c>
      <c r="E30" t="s">
        <v>12</v>
      </c>
      <c r="F30">
        <v>7.6989999999999998</v>
      </c>
      <c r="G30" t="s">
        <v>9</v>
      </c>
      <c r="H30">
        <v>1</v>
      </c>
    </row>
    <row r="31" spans="1:8" ht="106.15" customHeight="1" x14ac:dyDescent="0.25">
      <c r="A31" s="1" t="str">
        <f>"b1i2e"</f>
        <v>b1i2e</v>
      </c>
      <c r="B31" t="s">
        <v>45</v>
      </c>
      <c r="C31" t="s">
        <v>45</v>
      </c>
      <c r="D31">
        <v>2.1000000000000001E-2</v>
      </c>
      <c r="E31" t="s">
        <v>12</v>
      </c>
      <c r="F31">
        <v>7.6778000000000004</v>
      </c>
      <c r="G31" t="s">
        <v>9</v>
      </c>
      <c r="H31">
        <v>1</v>
      </c>
    </row>
    <row r="32" spans="1:8" ht="106.15" customHeight="1" x14ac:dyDescent="0.25">
      <c r="A32" s="1" t="str">
        <f>"b2a3hr"</f>
        <v>b2a3hr</v>
      </c>
      <c r="B32" t="s">
        <v>46</v>
      </c>
      <c r="C32" t="s">
        <v>46</v>
      </c>
      <c r="D32">
        <v>2.4E-2</v>
      </c>
      <c r="E32" t="s">
        <v>6</v>
      </c>
      <c r="F32">
        <v>7.6197999999999997</v>
      </c>
      <c r="G32" t="s">
        <v>9</v>
      </c>
      <c r="H32">
        <v>1</v>
      </c>
    </row>
    <row r="33" spans="1:8" ht="106.15" customHeight="1" x14ac:dyDescent="0.25">
      <c r="A33" s="1" t="str">
        <f>"b1i5a"</f>
        <v>b1i5a</v>
      </c>
      <c r="B33" t="s">
        <v>47</v>
      </c>
      <c r="C33" t="s">
        <v>47</v>
      </c>
      <c r="D33">
        <v>2.4E-2</v>
      </c>
      <c r="E33" t="s">
        <v>12</v>
      </c>
      <c r="F33">
        <v>7.6197999999999997</v>
      </c>
      <c r="G33" t="s">
        <v>9</v>
      </c>
      <c r="H33">
        <v>1</v>
      </c>
    </row>
    <row r="34" spans="1:8" ht="106.15" customHeight="1" x14ac:dyDescent="0.25">
      <c r="A34" s="1" t="str">
        <f>"b3a6d"</f>
        <v>b3a6d</v>
      </c>
      <c r="B34" t="s">
        <v>48</v>
      </c>
      <c r="C34" t="s">
        <v>48</v>
      </c>
      <c r="D34">
        <v>2.4E-2</v>
      </c>
      <c r="E34" t="s">
        <v>22</v>
      </c>
      <c r="F34">
        <v>7.6197999999999997</v>
      </c>
      <c r="G34" t="s">
        <v>13</v>
      </c>
      <c r="H34">
        <v>0</v>
      </c>
    </row>
    <row r="35" spans="1:8" ht="106.15" customHeight="1" x14ac:dyDescent="0.25">
      <c r="A35" s="1" t="str">
        <f>"b1i5m"</f>
        <v>b1i5m</v>
      </c>
      <c r="B35" t="s">
        <v>49</v>
      </c>
      <c r="C35" t="s">
        <v>49</v>
      </c>
      <c r="D35">
        <v>2.4E-2</v>
      </c>
      <c r="E35" t="s">
        <v>12</v>
      </c>
      <c r="F35">
        <v>7.6197999999999997</v>
      </c>
      <c r="G35" t="s">
        <v>13</v>
      </c>
      <c r="H35">
        <v>0</v>
      </c>
    </row>
    <row r="36" spans="1:8" ht="106.15" customHeight="1" x14ac:dyDescent="0.25">
      <c r="A36" s="1" t="str">
        <f>"b2a6b"</f>
        <v>b2a6b</v>
      </c>
      <c r="B36" t="s">
        <v>50</v>
      </c>
      <c r="C36" t="s">
        <v>50</v>
      </c>
      <c r="D36">
        <v>2.7E-2</v>
      </c>
      <c r="E36" t="s">
        <v>6</v>
      </c>
      <c r="F36">
        <v>7.5686</v>
      </c>
      <c r="G36" t="s">
        <v>13</v>
      </c>
      <c r="H36">
        <v>0</v>
      </c>
    </row>
    <row r="37" spans="1:8" ht="106.15" customHeight="1" x14ac:dyDescent="0.25">
      <c r="A37" s="1" t="str">
        <f>"b1i5f"</f>
        <v>b1i5f</v>
      </c>
      <c r="B37" t="s">
        <v>51</v>
      </c>
      <c r="C37" t="s">
        <v>51</v>
      </c>
      <c r="D37">
        <v>2.9000000000000001E-2</v>
      </c>
      <c r="E37" t="s">
        <v>12</v>
      </c>
      <c r="F37">
        <v>7.5376000000000003</v>
      </c>
      <c r="G37" t="s">
        <v>13</v>
      </c>
      <c r="H37">
        <v>0</v>
      </c>
    </row>
    <row r="38" spans="1:8" ht="105.6" customHeight="1" x14ac:dyDescent="0.25">
      <c r="A38" s="1" t="str">
        <f>"b1i5n"</f>
        <v>b1i5n</v>
      </c>
      <c r="B38" t="s">
        <v>52</v>
      </c>
      <c r="C38" t="s">
        <v>52</v>
      </c>
      <c r="D38">
        <v>3.1E-2</v>
      </c>
      <c r="E38" t="s">
        <v>12</v>
      </c>
      <c r="F38">
        <v>7.5086000000000004</v>
      </c>
      <c r="G38" t="s">
        <v>9</v>
      </c>
      <c r="H38">
        <v>1</v>
      </c>
    </row>
    <row r="39" spans="1:8" ht="106.15" customHeight="1" x14ac:dyDescent="0.25">
      <c r="A39" s="1" t="str">
        <f>"b1i4e"</f>
        <v>b1i4e</v>
      </c>
      <c r="B39" t="s">
        <v>53</v>
      </c>
      <c r="C39" t="s">
        <v>53</v>
      </c>
      <c r="D39">
        <v>3.4000000000000002E-2</v>
      </c>
      <c r="E39" t="s">
        <v>12</v>
      </c>
      <c r="F39">
        <v>7.4684999999999997</v>
      </c>
      <c r="G39" t="s">
        <v>13</v>
      </c>
      <c r="H39">
        <v>0</v>
      </c>
    </row>
    <row r="40" spans="1:8" ht="105.6" customHeight="1" x14ac:dyDescent="0.25">
      <c r="A40" s="1" t="str">
        <f>"b3a7b"</f>
        <v>b3a7b</v>
      </c>
      <c r="B40" t="s">
        <v>54</v>
      </c>
      <c r="C40" t="s">
        <v>54</v>
      </c>
      <c r="D40">
        <v>3.6999999999999998E-2</v>
      </c>
      <c r="E40" t="s">
        <v>22</v>
      </c>
      <c r="F40">
        <v>7.4318</v>
      </c>
      <c r="G40" t="s">
        <v>9</v>
      </c>
      <c r="H40">
        <v>1</v>
      </c>
    </row>
    <row r="41" spans="1:8" ht="106.15" customHeight="1" x14ac:dyDescent="0.25">
      <c r="A41" s="1" t="str">
        <f>"b1i5o"</f>
        <v>b1i5o</v>
      </c>
      <c r="B41" t="s">
        <v>55</v>
      </c>
      <c r="C41" t="s">
        <v>55</v>
      </c>
      <c r="D41">
        <v>4.3999999999999997E-2</v>
      </c>
      <c r="E41" t="s">
        <v>12</v>
      </c>
      <c r="F41">
        <v>7.3564999999999996</v>
      </c>
      <c r="G41" t="s">
        <v>13</v>
      </c>
      <c r="H41">
        <v>0</v>
      </c>
    </row>
    <row r="42" spans="1:8" ht="106.15" customHeight="1" x14ac:dyDescent="0.25">
      <c r="A42" s="1" t="str">
        <f>"b2a3ir"</f>
        <v>b2a3ir</v>
      </c>
      <c r="B42" t="s">
        <v>56</v>
      </c>
      <c r="C42" t="s">
        <v>56</v>
      </c>
      <c r="D42">
        <v>5.5E-2</v>
      </c>
      <c r="E42" t="s">
        <v>6</v>
      </c>
      <c r="F42">
        <v>7.2595999999999998</v>
      </c>
      <c r="G42" t="s">
        <v>13</v>
      </c>
      <c r="H42">
        <v>0</v>
      </c>
    </row>
    <row r="43" spans="1:8" ht="106.15" customHeight="1" x14ac:dyDescent="0.25">
      <c r="A43" s="1" t="str">
        <f>"b2a3g"</f>
        <v>b2a3g</v>
      </c>
      <c r="B43" t="s">
        <v>57</v>
      </c>
      <c r="C43" t="s">
        <v>57</v>
      </c>
      <c r="D43">
        <v>5.7000000000000002E-2</v>
      </c>
      <c r="E43" t="s">
        <v>6</v>
      </c>
      <c r="F43">
        <v>7.2441000000000004</v>
      </c>
      <c r="G43" t="s">
        <v>13</v>
      </c>
      <c r="H43">
        <v>0</v>
      </c>
    </row>
    <row r="44" spans="1:8" ht="106.15" customHeight="1" x14ac:dyDescent="0.25">
      <c r="A44" s="1" t="str">
        <f>"b2a4l"</f>
        <v>b2a4l</v>
      </c>
      <c r="B44" t="s">
        <v>58</v>
      </c>
      <c r="C44" t="s">
        <v>58</v>
      </c>
      <c r="D44">
        <v>5.7000000000000002E-2</v>
      </c>
      <c r="E44" t="s">
        <v>6</v>
      </c>
      <c r="F44">
        <v>7.2441000000000004</v>
      </c>
      <c r="G44" t="s">
        <v>13</v>
      </c>
      <c r="H44">
        <v>0</v>
      </c>
    </row>
    <row r="45" spans="1:8" ht="106.15" customHeight="1" x14ac:dyDescent="0.25">
      <c r="A45" s="1" t="str">
        <f>"b2a4c"</f>
        <v>b2a4c</v>
      </c>
      <c r="B45" t="s">
        <v>59</v>
      </c>
      <c r="C45" t="s">
        <v>59</v>
      </c>
      <c r="D45">
        <v>0.06</v>
      </c>
      <c r="E45" t="s">
        <v>6</v>
      </c>
      <c r="F45">
        <v>7.2218</v>
      </c>
      <c r="G45" t="s">
        <v>13</v>
      </c>
      <c r="H45">
        <v>0</v>
      </c>
    </row>
    <row r="46" spans="1:8" ht="106.15" customHeight="1" x14ac:dyDescent="0.25">
      <c r="A46" s="1" t="str">
        <f>"b2a3n"</f>
        <v>b2a3n</v>
      </c>
      <c r="B46" t="s">
        <v>60</v>
      </c>
      <c r="C46" t="s">
        <v>60</v>
      </c>
      <c r="D46">
        <v>6.0999999999999999E-2</v>
      </c>
      <c r="E46" t="s">
        <v>6</v>
      </c>
      <c r="F46">
        <v>7.2146999999999997</v>
      </c>
      <c r="G46" t="s">
        <v>13</v>
      </c>
      <c r="H46">
        <v>0</v>
      </c>
    </row>
    <row r="47" spans="1:8" ht="106.15" customHeight="1" x14ac:dyDescent="0.25">
      <c r="A47" s="1" t="str">
        <f>"b1i2h"</f>
        <v>b1i2h</v>
      </c>
      <c r="B47" t="s">
        <v>61</v>
      </c>
      <c r="C47" t="s">
        <v>61</v>
      </c>
      <c r="D47">
        <v>6.3E-2</v>
      </c>
      <c r="E47" t="s">
        <v>12</v>
      </c>
      <c r="F47">
        <v>7.2007000000000003</v>
      </c>
      <c r="G47" t="s">
        <v>13</v>
      </c>
      <c r="H47">
        <v>0</v>
      </c>
    </row>
    <row r="48" spans="1:8" ht="106.15" customHeight="1" x14ac:dyDescent="0.25">
      <c r="A48" s="1" t="str">
        <f>"b1i2i"</f>
        <v>b1i2i</v>
      </c>
      <c r="B48" t="s">
        <v>62</v>
      </c>
      <c r="C48" t="s">
        <v>62</v>
      </c>
      <c r="D48">
        <v>6.4000000000000001E-2</v>
      </c>
      <c r="E48" t="s">
        <v>12</v>
      </c>
      <c r="F48">
        <v>7.1938000000000004</v>
      </c>
      <c r="G48" t="s">
        <v>13</v>
      </c>
      <c r="H48">
        <v>0</v>
      </c>
    </row>
    <row r="49" spans="1:9" ht="106.15" customHeight="1" x14ac:dyDescent="0.25">
      <c r="A49" s="1" t="str">
        <f>"b2a4m"</f>
        <v>b2a4m</v>
      </c>
      <c r="B49" t="s">
        <v>63</v>
      </c>
      <c r="C49" t="s">
        <v>63</v>
      </c>
      <c r="D49">
        <v>7.0000000000000007E-2</v>
      </c>
      <c r="E49" t="s">
        <v>6</v>
      </c>
      <c r="F49">
        <v>7.1548999999999996</v>
      </c>
      <c r="G49" t="s">
        <v>13</v>
      </c>
      <c r="H49">
        <v>0</v>
      </c>
    </row>
    <row r="50" spans="1:9" ht="106.15" customHeight="1" x14ac:dyDescent="0.25">
      <c r="A50" s="1" t="str">
        <f>"b1i2f"</f>
        <v>b1i2f</v>
      </c>
      <c r="B50" t="s">
        <v>64</v>
      </c>
      <c r="C50" t="s">
        <v>64</v>
      </c>
      <c r="D50">
        <v>7.0999999999999994E-2</v>
      </c>
      <c r="E50" t="s">
        <v>12</v>
      </c>
      <c r="F50">
        <v>7.1486999999999998</v>
      </c>
      <c r="G50" t="s">
        <v>13</v>
      </c>
      <c r="H50">
        <v>0</v>
      </c>
    </row>
    <row r="51" spans="1:9" ht="106.15" customHeight="1" x14ac:dyDescent="0.25">
      <c r="A51" s="1" t="str">
        <f>"b3a6c"</f>
        <v>b3a6c</v>
      </c>
      <c r="B51" t="s">
        <v>65</v>
      </c>
      <c r="C51" t="s">
        <v>65</v>
      </c>
      <c r="D51">
        <v>7.2999999999999995E-2</v>
      </c>
      <c r="E51" t="s">
        <v>22</v>
      </c>
      <c r="F51">
        <v>7.1367000000000003</v>
      </c>
      <c r="G51" t="s">
        <v>13</v>
      </c>
      <c r="H51">
        <v>0</v>
      </c>
    </row>
    <row r="52" spans="1:9" ht="106.15" customHeight="1" x14ac:dyDescent="0.25">
      <c r="A52" s="1" t="str">
        <f>"b2a3fr"</f>
        <v>b2a3fr</v>
      </c>
      <c r="B52" t="s">
        <v>66</v>
      </c>
      <c r="C52" t="s">
        <v>66</v>
      </c>
      <c r="D52">
        <v>7.3999999999999996E-2</v>
      </c>
      <c r="E52" t="s">
        <v>6</v>
      </c>
      <c r="F52">
        <v>7.1307999999999998</v>
      </c>
      <c r="G52" t="s">
        <v>13</v>
      </c>
      <c r="H52">
        <v>0</v>
      </c>
    </row>
    <row r="53" spans="1:9" ht="106.7" customHeight="1" x14ac:dyDescent="0.25">
      <c r="A53" s="1" t="str">
        <f>"b2a5e"</f>
        <v>b2a5e</v>
      </c>
      <c r="B53" t="s">
        <v>67</v>
      </c>
      <c r="C53" t="s">
        <v>67</v>
      </c>
      <c r="D53">
        <v>0.08</v>
      </c>
      <c r="E53" t="s">
        <v>6</v>
      </c>
      <c r="F53">
        <v>7.0968999999999998</v>
      </c>
      <c r="G53" t="s">
        <v>13</v>
      </c>
      <c r="H53">
        <v>0</v>
      </c>
    </row>
    <row r="54" spans="1:9" ht="106.15" customHeight="1" x14ac:dyDescent="0.25">
      <c r="A54" s="1" t="str">
        <f>"b3a6h"</f>
        <v>b3a6h</v>
      </c>
      <c r="B54" t="s">
        <v>68</v>
      </c>
      <c r="C54" t="s">
        <v>68</v>
      </c>
      <c r="D54">
        <v>0.08</v>
      </c>
      <c r="E54" t="s">
        <v>22</v>
      </c>
      <c r="F54">
        <v>7.0968999999999998</v>
      </c>
      <c r="G54" t="s">
        <v>13</v>
      </c>
      <c r="H54">
        <v>0</v>
      </c>
    </row>
    <row r="55" spans="1:9" ht="106.15" customHeight="1" x14ac:dyDescent="0.25">
      <c r="A55" s="1" t="str">
        <f>"b2a4b"</f>
        <v>b2a4b</v>
      </c>
      <c r="B55" t="s">
        <v>69</v>
      </c>
      <c r="C55" t="s">
        <v>69</v>
      </c>
      <c r="D55">
        <v>0.08</v>
      </c>
      <c r="E55" t="s">
        <v>6</v>
      </c>
      <c r="F55">
        <v>7.0968999999999998</v>
      </c>
      <c r="G55" t="s">
        <v>9</v>
      </c>
      <c r="H55">
        <v>1</v>
      </c>
    </row>
    <row r="56" spans="1:9" ht="106.15" customHeight="1" x14ac:dyDescent="0.25">
      <c r="A56" s="1" t="str">
        <f>"b1i5l"</f>
        <v>b1i5l</v>
      </c>
      <c r="B56" t="s">
        <v>70</v>
      </c>
      <c r="C56" t="s">
        <v>70</v>
      </c>
      <c r="D56">
        <v>8.4000000000000005E-2</v>
      </c>
      <c r="E56" t="s">
        <v>12</v>
      </c>
      <c r="F56">
        <v>7.0757000000000003</v>
      </c>
      <c r="G56" t="s">
        <v>13</v>
      </c>
      <c r="H56">
        <v>0</v>
      </c>
    </row>
    <row r="57" spans="1:9" ht="106.15" customHeight="1" x14ac:dyDescent="0.25">
      <c r="A57" s="1" t="str">
        <f>"b3a3i"</f>
        <v>b3a3i</v>
      </c>
      <c r="B57" t="s">
        <v>71</v>
      </c>
      <c r="C57" t="s">
        <v>71</v>
      </c>
      <c r="D57">
        <v>8.5999999999999993E-2</v>
      </c>
      <c r="E57" t="s">
        <v>22</v>
      </c>
      <c r="F57">
        <v>7.0655000000000001</v>
      </c>
      <c r="G57" t="s">
        <v>13</v>
      </c>
      <c r="H57">
        <v>0</v>
      </c>
    </row>
    <row r="58" spans="1:9" ht="106.15" customHeight="1" x14ac:dyDescent="0.25">
      <c r="A58" s="1" t="str">
        <f>"b3a6f"</f>
        <v>b3a6f</v>
      </c>
      <c r="B58" t="s">
        <v>72</v>
      </c>
      <c r="C58" t="s">
        <v>72</v>
      </c>
      <c r="D58">
        <v>8.7999999999999995E-2</v>
      </c>
      <c r="E58" t="s">
        <v>22</v>
      </c>
      <c r="F58">
        <v>7.0555000000000003</v>
      </c>
      <c r="G58" t="s">
        <v>13</v>
      </c>
      <c r="H58">
        <v>0</v>
      </c>
    </row>
    <row r="59" spans="1:9" ht="106.15" customHeight="1" x14ac:dyDescent="0.25">
      <c r="A59" s="1" t="str">
        <f>"b3a4g"</f>
        <v>b3a4g</v>
      </c>
      <c r="B59" t="s">
        <v>73</v>
      </c>
      <c r="C59" t="s">
        <v>73</v>
      </c>
      <c r="D59">
        <v>8.8999999999999996E-2</v>
      </c>
      <c r="E59" t="s">
        <v>22</v>
      </c>
      <c r="F59">
        <v>7.0506000000000002</v>
      </c>
      <c r="G59" t="s">
        <v>13</v>
      </c>
      <c r="H59">
        <v>0</v>
      </c>
    </row>
    <row r="60" spans="1:9" ht="106.15" customHeight="1" x14ac:dyDescent="0.25">
      <c r="A60" s="1" t="str">
        <f>"b1a2m"</f>
        <v>b1a2m</v>
      </c>
      <c r="B60" t="s">
        <v>74</v>
      </c>
      <c r="C60" t="s">
        <v>74</v>
      </c>
      <c r="D60">
        <v>9.0999999999999998E-2</v>
      </c>
      <c r="E60" t="s">
        <v>12</v>
      </c>
      <c r="F60">
        <v>7.0410000000000004</v>
      </c>
      <c r="G60" t="s">
        <v>13</v>
      </c>
      <c r="H60">
        <v>0</v>
      </c>
      <c r="I60" t="s">
        <v>75</v>
      </c>
    </row>
    <row r="61" spans="1:9" ht="106.15" customHeight="1" x14ac:dyDescent="0.25">
      <c r="A61" s="1" t="str">
        <f>"b3a3b"</f>
        <v>b3a3b</v>
      </c>
      <c r="B61" t="s">
        <v>76</v>
      </c>
      <c r="C61" t="s">
        <v>76</v>
      </c>
      <c r="D61">
        <v>9.8000000000000004E-2</v>
      </c>
      <c r="E61" t="s">
        <v>22</v>
      </c>
      <c r="F61">
        <v>7.0087999999999999</v>
      </c>
      <c r="G61" t="s">
        <v>13</v>
      </c>
      <c r="H61">
        <v>0</v>
      </c>
    </row>
    <row r="62" spans="1:9" ht="106.15" customHeight="1" x14ac:dyDescent="0.25">
      <c r="A62" s="1" t="str">
        <f>"b3a6i"</f>
        <v>b3a6i</v>
      </c>
      <c r="B62" t="s">
        <v>77</v>
      </c>
      <c r="C62" t="s">
        <v>77</v>
      </c>
      <c r="D62">
        <v>9.8000000000000004E-2</v>
      </c>
      <c r="E62" t="s">
        <v>22</v>
      </c>
      <c r="F62">
        <v>7.0087999999999999</v>
      </c>
      <c r="G62" t="s">
        <v>13</v>
      </c>
      <c r="H62">
        <v>0</v>
      </c>
    </row>
    <row r="63" spans="1:9" ht="106.15" customHeight="1" x14ac:dyDescent="0.25">
      <c r="A63" s="1" t="str">
        <f>"b3a6g"</f>
        <v>b3a6g</v>
      </c>
      <c r="B63" t="s">
        <v>78</v>
      </c>
      <c r="C63" t="s">
        <v>78</v>
      </c>
      <c r="D63">
        <v>9.9000000000000005E-2</v>
      </c>
      <c r="E63" t="s">
        <v>22</v>
      </c>
      <c r="F63">
        <v>7.0044000000000004</v>
      </c>
      <c r="G63" t="s">
        <v>13</v>
      </c>
      <c r="H63">
        <v>0</v>
      </c>
    </row>
    <row r="64" spans="1:9" ht="106.15" customHeight="1" x14ac:dyDescent="0.25">
      <c r="A64" s="1" t="str">
        <f>"b3a5h"</f>
        <v>b3a5h</v>
      </c>
      <c r="B64" t="s">
        <v>79</v>
      </c>
      <c r="C64" t="s">
        <v>79</v>
      </c>
      <c r="D64">
        <v>0.1</v>
      </c>
      <c r="E64" t="s">
        <v>22</v>
      </c>
      <c r="F64">
        <v>7</v>
      </c>
      <c r="G64" t="s">
        <v>13</v>
      </c>
      <c r="H64">
        <v>0</v>
      </c>
    </row>
    <row r="65" spans="1:8" ht="106.15" customHeight="1" x14ac:dyDescent="0.25">
      <c r="A65" s="1" t="str">
        <f>"b2a3kr"</f>
        <v>b2a3kr</v>
      </c>
      <c r="B65" t="s">
        <v>80</v>
      </c>
      <c r="C65" t="s">
        <v>80</v>
      </c>
      <c r="D65">
        <v>0.107</v>
      </c>
      <c r="E65" t="s">
        <v>6</v>
      </c>
      <c r="F65">
        <v>6.9706000000000001</v>
      </c>
      <c r="G65" t="s">
        <v>9</v>
      </c>
      <c r="H65">
        <v>1</v>
      </c>
    </row>
    <row r="66" spans="1:8" ht="106.7" customHeight="1" x14ac:dyDescent="0.25">
      <c r="A66" s="1" t="str">
        <f>"b2a5f"</f>
        <v>b2a5f</v>
      </c>
      <c r="B66" t="s">
        <v>81</v>
      </c>
      <c r="C66" t="s">
        <v>81</v>
      </c>
      <c r="D66">
        <v>0.11</v>
      </c>
      <c r="E66" t="s">
        <v>6</v>
      </c>
      <c r="F66">
        <v>6.9585999999999997</v>
      </c>
      <c r="G66" t="s">
        <v>13</v>
      </c>
      <c r="H66">
        <v>0</v>
      </c>
    </row>
    <row r="67" spans="1:8" ht="106.15" customHeight="1" x14ac:dyDescent="0.25">
      <c r="A67" s="1" t="str">
        <f>"b2a6c"</f>
        <v>b2a6c</v>
      </c>
      <c r="B67" t="s">
        <v>82</v>
      </c>
      <c r="C67" t="s">
        <v>82</v>
      </c>
      <c r="D67">
        <v>0.112</v>
      </c>
      <c r="E67" t="s">
        <v>6</v>
      </c>
      <c r="F67">
        <v>6.9508000000000001</v>
      </c>
      <c r="G67" t="s">
        <v>9</v>
      </c>
      <c r="H67">
        <v>1</v>
      </c>
    </row>
    <row r="68" spans="1:8" ht="106.15" customHeight="1" x14ac:dyDescent="0.25">
      <c r="A68" s="1" t="str">
        <f>"b3a6e"</f>
        <v>b3a6e</v>
      </c>
      <c r="B68" t="s">
        <v>83</v>
      </c>
      <c r="C68" t="s">
        <v>83</v>
      </c>
      <c r="D68">
        <v>0.11600000000000001</v>
      </c>
      <c r="E68" t="s">
        <v>22</v>
      </c>
      <c r="F68">
        <v>6.9355000000000002</v>
      </c>
      <c r="G68" t="s">
        <v>9</v>
      </c>
      <c r="H68">
        <v>1</v>
      </c>
    </row>
    <row r="69" spans="1:8" ht="106.15" customHeight="1" x14ac:dyDescent="0.25">
      <c r="A69" s="1" t="str">
        <f>"b2a3q"</f>
        <v>b2a3q</v>
      </c>
      <c r="B69" t="s">
        <v>84</v>
      </c>
      <c r="C69" t="s">
        <v>84</v>
      </c>
      <c r="D69">
        <v>0.12</v>
      </c>
      <c r="E69" t="s">
        <v>6</v>
      </c>
      <c r="F69">
        <v>6.9207999999999998</v>
      </c>
      <c r="G69" t="s">
        <v>13</v>
      </c>
      <c r="H69">
        <v>0</v>
      </c>
    </row>
    <row r="70" spans="1:8" ht="105.6" customHeight="1" x14ac:dyDescent="0.25">
      <c r="A70" s="1" t="str">
        <f>"b1i5e"</f>
        <v>b1i5e</v>
      </c>
      <c r="B70" t="s">
        <v>85</v>
      </c>
      <c r="C70" t="s">
        <v>85</v>
      </c>
      <c r="D70">
        <v>0.122</v>
      </c>
      <c r="E70" t="s">
        <v>12</v>
      </c>
      <c r="F70">
        <v>6.9135999999999997</v>
      </c>
      <c r="G70" t="s">
        <v>13</v>
      </c>
      <c r="H70">
        <v>0</v>
      </c>
    </row>
    <row r="71" spans="1:8" ht="106.15" customHeight="1" x14ac:dyDescent="0.25">
      <c r="A71" s="1" t="str">
        <f>"b3a5b"</f>
        <v>b3a5b</v>
      </c>
      <c r="B71" t="s">
        <v>86</v>
      </c>
      <c r="C71" t="s">
        <v>86</v>
      </c>
      <c r="D71">
        <v>0.123</v>
      </c>
      <c r="E71" t="s">
        <v>22</v>
      </c>
      <c r="F71">
        <v>6.9100999999999999</v>
      </c>
      <c r="G71" t="s">
        <v>13</v>
      </c>
      <c r="H71">
        <v>0</v>
      </c>
    </row>
    <row r="72" spans="1:8" ht="106.15" customHeight="1" x14ac:dyDescent="0.25">
      <c r="A72" s="1" t="str">
        <f>"b1i5g"</f>
        <v>b1i5g</v>
      </c>
      <c r="B72" t="s">
        <v>87</v>
      </c>
      <c r="C72" t="s">
        <v>87</v>
      </c>
      <c r="D72">
        <v>0.13</v>
      </c>
      <c r="E72" t="s">
        <v>12</v>
      </c>
      <c r="F72">
        <v>6.8860999999999999</v>
      </c>
      <c r="G72" t="s">
        <v>13</v>
      </c>
      <c r="H72">
        <v>0</v>
      </c>
    </row>
    <row r="73" spans="1:8" ht="106.15" customHeight="1" x14ac:dyDescent="0.25">
      <c r="A73" s="1" t="str">
        <f>"b2a4e"</f>
        <v>b2a4e</v>
      </c>
      <c r="B73" t="s">
        <v>88</v>
      </c>
      <c r="C73" t="s">
        <v>88</v>
      </c>
      <c r="D73">
        <v>0.14299999999999999</v>
      </c>
      <c r="E73" t="s">
        <v>6</v>
      </c>
      <c r="F73">
        <v>6.8446999999999996</v>
      </c>
      <c r="G73" t="s">
        <v>13</v>
      </c>
      <c r="H73">
        <v>0</v>
      </c>
    </row>
    <row r="74" spans="1:8" ht="106.15" customHeight="1" x14ac:dyDescent="0.25">
      <c r="A74" s="1" t="str">
        <f>"b3a6a"</f>
        <v>b3a6a</v>
      </c>
      <c r="B74" t="s">
        <v>89</v>
      </c>
      <c r="C74" t="s">
        <v>89</v>
      </c>
      <c r="D74">
        <v>0.15</v>
      </c>
      <c r="E74" t="s">
        <v>22</v>
      </c>
      <c r="F74">
        <v>6.8239000000000001</v>
      </c>
      <c r="G74" t="s">
        <v>13</v>
      </c>
      <c r="H74">
        <v>0</v>
      </c>
    </row>
    <row r="75" spans="1:8" ht="106.15" customHeight="1" x14ac:dyDescent="0.25">
      <c r="A75" s="1" t="str">
        <f>"b2a4n"</f>
        <v>b2a4n</v>
      </c>
      <c r="B75" t="s">
        <v>90</v>
      </c>
      <c r="C75" t="s">
        <v>90</v>
      </c>
      <c r="D75">
        <v>0.152</v>
      </c>
      <c r="E75" t="s">
        <v>6</v>
      </c>
      <c r="F75">
        <v>6.8182</v>
      </c>
      <c r="G75" t="s">
        <v>13</v>
      </c>
      <c r="H75">
        <v>0</v>
      </c>
    </row>
    <row r="76" spans="1:8" ht="106.15" customHeight="1" x14ac:dyDescent="0.25">
      <c r="A76" s="1" t="str">
        <f>"b3a7d"</f>
        <v>b3a7d</v>
      </c>
      <c r="B76" t="s">
        <v>91</v>
      </c>
      <c r="C76" t="s">
        <v>91</v>
      </c>
      <c r="D76">
        <v>0.154</v>
      </c>
      <c r="E76" t="s">
        <v>22</v>
      </c>
      <c r="F76">
        <v>6.8125</v>
      </c>
      <c r="G76" t="s">
        <v>13</v>
      </c>
      <c r="H76">
        <v>0</v>
      </c>
    </row>
    <row r="77" spans="1:8" ht="106.15" customHeight="1" x14ac:dyDescent="0.25">
      <c r="A77" s="1" t="str">
        <f>"b3a3f"</f>
        <v>b3a3f</v>
      </c>
      <c r="B77" t="s">
        <v>92</v>
      </c>
      <c r="C77" t="s">
        <v>92</v>
      </c>
      <c r="D77">
        <v>0.17</v>
      </c>
      <c r="E77" t="s">
        <v>22</v>
      </c>
      <c r="F77">
        <v>6.7695999999999996</v>
      </c>
      <c r="G77" t="s">
        <v>9</v>
      </c>
      <c r="H77">
        <v>1</v>
      </c>
    </row>
    <row r="78" spans="1:8" ht="106.15" customHeight="1" x14ac:dyDescent="0.25">
      <c r="A78" s="1" t="str">
        <f>"b1i4c"</f>
        <v>b1i4c</v>
      </c>
      <c r="B78" t="s">
        <v>93</v>
      </c>
      <c r="C78" t="s">
        <v>93</v>
      </c>
      <c r="D78">
        <v>0.17499999999999999</v>
      </c>
      <c r="E78" t="s">
        <v>12</v>
      </c>
      <c r="F78">
        <v>6.7569999999999997</v>
      </c>
      <c r="G78" t="s">
        <v>13</v>
      </c>
      <c r="H78">
        <v>0</v>
      </c>
    </row>
    <row r="79" spans="1:8" ht="106.15" customHeight="1" x14ac:dyDescent="0.25">
      <c r="A79" s="1" t="str">
        <f>"b3a5c"</f>
        <v>b3a5c</v>
      </c>
      <c r="B79" t="s">
        <v>94</v>
      </c>
      <c r="C79" t="s">
        <v>94</v>
      </c>
      <c r="D79">
        <v>0.18099999999999999</v>
      </c>
      <c r="E79" t="s">
        <v>22</v>
      </c>
      <c r="F79">
        <v>6.7423000000000002</v>
      </c>
      <c r="G79" t="s">
        <v>9</v>
      </c>
      <c r="H79">
        <v>1</v>
      </c>
    </row>
    <row r="80" spans="1:8" ht="106.15" customHeight="1" x14ac:dyDescent="0.25">
      <c r="A80" s="1" t="str">
        <f>"b3a4i"</f>
        <v>b3a4i</v>
      </c>
      <c r="B80" t="s">
        <v>95</v>
      </c>
      <c r="C80" t="s">
        <v>95</v>
      </c>
      <c r="D80">
        <v>0.186</v>
      </c>
      <c r="E80" t="s">
        <v>22</v>
      </c>
      <c r="F80">
        <v>6.7305000000000001</v>
      </c>
      <c r="G80" t="s">
        <v>13</v>
      </c>
      <c r="H80">
        <v>0</v>
      </c>
    </row>
    <row r="81" spans="1:9" ht="106.15" customHeight="1" x14ac:dyDescent="0.25">
      <c r="A81" s="1" t="str">
        <f>"b2a3e"</f>
        <v>b2a3e</v>
      </c>
      <c r="B81" t="s">
        <v>96</v>
      </c>
      <c r="C81" t="s">
        <v>96</v>
      </c>
      <c r="D81">
        <v>0.20200000000000001</v>
      </c>
      <c r="E81" t="s">
        <v>6</v>
      </c>
      <c r="F81">
        <v>6.6946000000000003</v>
      </c>
      <c r="G81" t="s">
        <v>9</v>
      </c>
      <c r="H81">
        <v>1</v>
      </c>
    </row>
    <row r="82" spans="1:9" ht="106.15" customHeight="1" x14ac:dyDescent="0.25">
      <c r="A82" s="1" t="str">
        <f>"b3a4j"</f>
        <v>b3a4j</v>
      </c>
      <c r="B82" t="s">
        <v>97</v>
      </c>
      <c r="C82" t="s">
        <v>97</v>
      </c>
      <c r="D82">
        <v>0.218</v>
      </c>
      <c r="E82" t="s">
        <v>22</v>
      </c>
      <c r="F82">
        <v>6.6615000000000002</v>
      </c>
      <c r="G82" t="s">
        <v>9</v>
      </c>
      <c r="H82">
        <v>1</v>
      </c>
    </row>
    <row r="83" spans="1:9" ht="106.15" customHeight="1" x14ac:dyDescent="0.25">
      <c r="A83" s="1" t="str">
        <f>"b3a3d"</f>
        <v>b3a3d</v>
      </c>
      <c r="B83" t="s">
        <v>98</v>
      </c>
      <c r="C83" t="s">
        <v>98</v>
      </c>
      <c r="D83">
        <v>0.23100000000000001</v>
      </c>
      <c r="E83" t="s">
        <v>22</v>
      </c>
      <c r="F83">
        <v>6.6364000000000001</v>
      </c>
      <c r="G83" t="s">
        <v>13</v>
      </c>
      <c r="H83">
        <v>0</v>
      </c>
    </row>
    <row r="84" spans="1:9" ht="106.15" customHeight="1" x14ac:dyDescent="0.25">
      <c r="A84" s="1" t="str">
        <f>"b2a3s"</f>
        <v>b2a3s</v>
      </c>
      <c r="B84" t="s">
        <v>99</v>
      </c>
      <c r="C84" t="s">
        <v>99</v>
      </c>
      <c r="D84">
        <v>0.246</v>
      </c>
      <c r="E84" t="s">
        <v>6</v>
      </c>
      <c r="F84">
        <v>6.6090999999999998</v>
      </c>
      <c r="G84" t="s">
        <v>13</v>
      </c>
      <c r="H84">
        <v>0</v>
      </c>
    </row>
    <row r="85" spans="1:9" ht="106.15" customHeight="1" x14ac:dyDescent="0.25">
      <c r="A85" s="1" t="str">
        <f>"b2a3a"</f>
        <v>b2a3a</v>
      </c>
      <c r="B85" t="s">
        <v>100</v>
      </c>
      <c r="C85" t="s">
        <v>100</v>
      </c>
      <c r="D85">
        <v>0.25</v>
      </c>
      <c r="E85" t="s">
        <v>6</v>
      </c>
      <c r="F85">
        <v>6.6021000000000001</v>
      </c>
      <c r="G85" t="s">
        <v>9</v>
      </c>
      <c r="H85">
        <v>1</v>
      </c>
    </row>
    <row r="86" spans="1:9" ht="106.15" customHeight="1" x14ac:dyDescent="0.25">
      <c r="A86" s="1" t="str">
        <f>"b2a4k"</f>
        <v>b2a4k</v>
      </c>
      <c r="B86" t="s">
        <v>101</v>
      </c>
      <c r="C86" t="s">
        <v>101</v>
      </c>
      <c r="D86">
        <v>0.28499999999999998</v>
      </c>
      <c r="E86" t="s">
        <v>6</v>
      </c>
      <c r="F86">
        <v>6.5452000000000004</v>
      </c>
      <c r="G86" t="s">
        <v>9</v>
      </c>
      <c r="H86">
        <v>1</v>
      </c>
    </row>
    <row r="87" spans="1:9" ht="106.15" customHeight="1" x14ac:dyDescent="0.25">
      <c r="A87" s="1" t="str">
        <f>"b2a4g"</f>
        <v>b2a4g</v>
      </c>
      <c r="B87" t="s">
        <v>102</v>
      </c>
      <c r="C87" t="s">
        <v>102</v>
      </c>
      <c r="D87">
        <v>0.28999999999999998</v>
      </c>
      <c r="E87" t="s">
        <v>6</v>
      </c>
      <c r="F87">
        <v>6.5376000000000003</v>
      </c>
      <c r="G87" t="s">
        <v>13</v>
      </c>
      <c r="H87">
        <v>0</v>
      </c>
    </row>
    <row r="88" spans="1:9" ht="106.15" customHeight="1" x14ac:dyDescent="0.25">
      <c r="A88" s="1" t="str">
        <f>"b2a3d"</f>
        <v>b2a3d</v>
      </c>
      <c r="B88" t="s">
        <v>103</v>
      </c>
      <c r="C88" t="s">
        <v>103</v>
      </c>
      <c r="D88">
        <v>0.31</v>
      </c>
      <c r="E88" t="s">
        <v>6</v>
      </c>
      <c r="F88">
        <v>6.5086000000000004</v>
      </c>
      <c r="G88" t="s">
        <v>9</v>
      </c>
      <c r="H88">
        <v>1</v>
      </c>
    </row>
    <row r="89" spans="1:9" ht="106.15" customHeight="1" x14ac:dyDescent="0.25">
      <c r="A89" s="1" t="str">
        <f>"b2a7b"</f>
        <v>b2a7b</v>
      </c>
      <c r="B89" t="s">
        <v>104</v>
      </c>
      <c r="C89" t="s">
        <v>104</v>
      </c>
      <c r="D89">
        <v>0.32</v>
      </c>
      <c r="E89" t="s">
        <v>6</v>
      </c>
      <c r="F89">
        <v>6.4949000000000003</v>
      </c>
      <c r="G89" t="s">
        <v>13</v>
      </c>
      <c r="H89">
        <v>0</v>
      </c>
    </row>
    <row r="90" spans="1:9" ht="106.15" customHeight="1" x14ac:dyDescent="0.25">
      <c r="A90" s="1" t="str">
        <f>"b3a7c"</f>
        <v>b3a7c</v>
      </c>
      <c r="B90" t="s">
        <v>105</v>
      </c>
      <c r="C90" t="s">
        <v>105</v>
      </c>
      <c r="D90">
        <v>0.32</v>
      </c>
      <c r="E90" t="s">
        <v>22</v>
      </c>
      <c r="F90">
        <v>6.4949000000000003</v>
      </c>
      <c r="G90" t="s">
        <v>9</v>
      </c>
      <c r="H90">
        <v>1</v>
      </c>
    </row>
    <row r="91" spans="1:9" ht="105.6" customHeight="1" x14ac:dyDescent="0.25">
      <c r="A91" s="1" t="str">
        <f>"b2a3jr"</f>
        <v>b2a3jr</v>
      </c>
      <c r="B91" t="s">
        <v>106</v>
      </c>
      <c r="C91" t="s">
        <v>106</v>
      </c>
      <c r="D91">
        <v>0.32200000000000001</v>
      </c>
      <c r="E91" t="s">
        <v>6</v>
      </c>
      <c r="F91">
        <v>6.4920999999999998</v>
      </c>
      <c r="G91" t="s">
        <v>13</v>
      </c>
      <c r="H91">
        <v>0</v>
      </c>
    </row>
    <row r="92" spans="1:9" ht="106.15" customHeight="1" x14ac:dyDescent="0.25">
      <c r="A92" s="1" t="str">
        <f>"b1i4i"</f>
        <v>b1i4i</v>
      </c>
      <c r="B92" t="s">
        <v>107</v>
      </c>
      <c r="C92" t="s">
        <v>107</v>
      </c>
      <c r="D92">
        <v>0.36</v>
      </c>
      <c r="E92" t="s">
        <v>12</v>
      </c>
      <c r="F92">
        <v>6.4436999999999998</v>
      </c>
      <c r="G92" t="s">
        <v>13</v>
      </c>
      <c r="H92">
        <v>0</v>
      </c>
    </row>
    <row r="93" spans="1:9" ht="106.15" customHeight="1" x14ac:dyDescent="0.25">
      <c r="A93" s="1" t="str">
        <f>"b2a4d"</f>
        <v>b2a4d</v>
      </c>
      <c r="B93" t="s">
        <v>108</v>
      </c>
      <c r="C93" t="s">
        <v>108</v>
      </c>
      <c r="D93">
        <v>0.39</v>
      </c>
      <c r="E93" t="s">
        <v>6</v>
      </c>
      <c r="F93">
        <v>6.4089</v>
      </c>
      <c r="G93" t="s">
        <v>9</v>
      </c>
      <c r="H93">
        <v>1</v>
      </c>
    </row>
    <row r="94" spans="1:9" ht="106.15" customHeight="1" x14ac:dyDescent="0.25">
      <c r="A94" s="1" t="str">
        <f>"b3a3e"</f>
        <v>b3a3e</v>
      </c>
      <c r="B94" t="s">
        <v>109</v>
      </c>
      <c r="C94" t="s">
        <v>109</v>
      </c>
      <c r="D94">
        <v>0.39600000000000002</v>
      </c>
      <c r="E94" t="s">
        <v>22</v>
      </c>
      <c r="F94">
        <v>6.4023000000000003</v>
      </c>
      <c r="G94" t="s">
        <v>13</v>
      </c>
      <c r="H94">
        <v>0</v>
      </c>
    </row>
    <row r="95" spans="1:9" ht="106.15" customHeight="1" x14ac:dyDescent="0.25">
      <c r="A95" s="1" t="str">
        <f>"b1i2a"</f>
        <v>b1i2a</v>
      </c>
      <c r="B95" t="s">
        <v>110</v>
      </c>
      <c r="C95" t="s">
        <v>110</v>
      </c>
      <c r="D95">
        <v>0.42</v>
      </c>
      <c r="E95" t="s">
        <v>12</v>
      </c>
      <c r="F95">
        <v>6.3768000000000002</v>
      </c>
      <c r="G95" t="s">
        <v>9</v>
      </c>
      <c r="H95">
        <v>1</v>
      </c>
      <c r="I95" t="s">
        <v>111</v>
      </c>
    </row>
    <row r="96" spans="1:9" ht="106.15" customHeight="1" x14ac:dyDescent="0.25">
      <c r="A96" s="1" t="str">
        <f>"b2a7c"</f>
        <v>b2a7c</v>
      </c>
      <c r="B96" t="s">
        <v>112</v>
      </c>
      <c r="C96" t="s">
        <v>112</v>
      </c>
      <c r="D96">
        <v>0.42299999999999999</v>
      </c>
      <c r="E96" t="s">
        <v>6</v>
      </c>
      <c r="F96">
        <v>6.3737000000000004</v>
      </c>
      <c r="G96" t="s">
        <v>13</v>
      </c>
      <c r="H96">
        <v>0</v>
      </c>
    </row>
    <row r="97" spans="1:8" ht="106.15" customHeight="1" x14ac:dyDescent="0.25">
      <c r="A97" s="1" t="str">
        <f>"b2a4h"</f>
        <v>b2a4h</v>
      </c>
      <c r="B97" t="s">
        <v>113</v>
      </c>
      <c r="C97" t="s">
        <v>113</v>
      </c>
      <c r="D97">
        <v>0.45500000000000002</v>
      </c>
      <c r="E97" t="s">
        <v>6</v>
      </c>
      <c r="F97">
        <v>6.3419999999999996</v>
      </c>
      <c r="G97" t="s">
        <v>9</v>
      </c>
      <c r="H97">
        <v>1</v>
      </c>
    </row>
    <row r="98" spans="1:8" ht="106.15" customHeight="1" x14ac:dyDescent="0.25">
      <c r="A98" s="1" t="str">
        <f>"b2a6a"</f>
        <v>b2a6a</v>
      </c>
      <c r="B98" t="s">
        <v>114</v>
      </c>
      <c r="C98" t="s">
        <v>114</v>
      </c>
      <c r="D98">
        <v>0.49399999999999999</v>
      </c>
      <c r="E98" t="s">
        <v>6</v>
      </c>
      <c r="F98">
        <v>6.3063000000000002</v>
      </c>
      <c r="G98" t="s">
        <v>13</v>
      </c>
      <c r="H98">
        <v>0</v>
      </c>
    </row>
    <row r="99" spans="1:8" ht="106.15" customHeight="1" x14ac:dyDescent="0.25">
      <c r="A99" s="1" t="str">
        <f>"b3a3g"</f>
        <v>b3a3g</v>
      </c>
      <c r="B99" t="s">
        <v>115</v>
      </c>
      <c r="C99" t="s">
        <v>115</v>
      </c>
      <c r="D99">
        <v>0.504</v>
      </c>
      <c r="E99" t="s">
        <v>22</v>
      </c>
      <c r="F99">
        <v>6.2976000000000001</v>
      </c>
      <c r="G99" t="s">
        <v>13</v>
      </c>
      <c r="H99">
        <v>0</v>
      </c>
    </row>
    <row r="100" spans="1:8" ht="106.15" customHeight="1" x14ac:dyDescent="0.25">
      <c r="A100" s="1" t="str">
        <f>"b2a3c"</f>
        <v>b2a3c</v>
      </c>
      <c r="B100" t="s">
        <v>116</v>
      </c>
      <c r="C100" t="s">
        <v>116</v>
      </c>
      <c r="D100">
        <v>0.51300000000000001</v>
      </c>
      <c r="E100" t="s">
        <v>6</v>
      </c>
      <c r="F100">
        <v>6.2899000000000003</v>
      </c>
      <c r="G100" t="s">
        <v>13</v>
      </c>
      <c r="H100">
        <v>0</v>
      </c>
    </row>
    <row r="101" spans="1:8" ht="106.15" customHeight="1" x14ac:dyDescent="0.25">
      <c r="A101" s="1" t="str">
        <f>"b2a7e"</f>
        <v>b2a7e</v>
      </c>
      <c r="B101" t="s">
        <v>117</v>
      </c>
      <c r="C101" t="s">
        <v>117</v>
      </c>
      <c r="D101">
        <v>0.51700000000000002</v>
      </c>
      <c r="E101" t="s">
        <v>6</v>
      </c>
      <c r="F101">
        <v>6.2865000000000002</v>
      </c>
      <c r="G101" t="s">
        <v>13</v>
      </c>
      <c r="H101">
        <v>0</v>
      </c>
    </row>
    <row r="102" spans="1:8" ht="106.15" customHeight="1" x14ac:dyDescent="0.25">
      <c r="A102" s="1" t="str">
        <f>"b3a5f"</f>
        <v>b3a5f</v>
      </c>
      <c r="B102" t="s">
        <v>118</v>
      </c>
      <c r="C102" t="s">
        <v>118</v>
      </c>
      <c r="D102">
        <v>0.52</v>
      </c>
      <c r="E102" t="s">
        <v>22</v>
      </c>
      <c r="F102">
        <v>6.2839999999999998</v>
      </c>
      <c r="G102" t="s">
        <v>13</v>
      </c>
      <c r="H102">
        <v>0</v>
      </c>
    </row>
    <row r="103" spans="1:8" ht="106.15" customHeight="1" x14ac:dyDescent="0.25">
      <c r="A103" s="1" t="str">
        <f>"b2a5h"</f>
        <v>b2a5h</v>
      </c>
      <c r="B103" t="s">
        <v>119</v>
      </c>
      <c r="C103" t="s">
        <v>119</v>
      </c>
      <c r="D103">
        <v>0.59</v>
      </c>
      <c r="E103" t="s">
        <v>6</v>
      </c>
      <c r="F103">
        <v>6.2290999999999999</v>
      </c>
      <c r="G103" t="s">
        <v>13</v>
      </c>
      <c r="H103">
        <v>0</v>
      </c>
    </row>
    <row r="104" spans="1:8" ht="106.15" customHeight="1" x14ac:dyDescent="0.25">
      <c r="A104" s="1" t="str">
        <f>"b3a5d"</f>
        <v>b3a5d</v>
      </c>
      <c r="B104" t="s">
        <v>120</v>
      </c>
      <c r="C104" t="s">
        <v>120</v>
      </c>
      <c r="D104">
        <v>0.65</v>
      </c>
      <c r="E104" t="s">
        <v>22</v>
      </c>
      <c r="F104">
        <v>6.1871</v>
      </c>
      <c r="G104" t="s">
        <v>13</v>
      </c>
      <c r="H104">
        <v>0</v>
      </c>
    </row>
    <row r="105" spans="1:8" ht="106.15" customHeight="1" x14ac:dyDescent="0.25">
      <c r="A105" s="1" t="str">
        <f>"b1i2d"</f>
        <v>b1i2d</v>
      </c>
      <c r="B105" t="s">
        <v>121</v>
      </c>
      <c r="C105" t="s">
        <v>121</v>
      </c>
      <c r="D105">
        <v>0.68</v>
      </c>
      <c r="E105" t="s">
        <v>12</v>
      </c>
      <c r="F105">
        <v>6.1675000000000004</v>
      </c>
      <c r="G105" t="s">
        <v>13</v>
      </c>
      <c r="H105">
        <v>0</v>
      </c>
    </row>
    <row r="106" spans="1:8" ht="106.15" customHeight="1" x14ac:dyDescent="0.25">
      <c r="A106" s="1" t="str">
        <f>"b2a3br"</f>
        <v>b2a3br</v>
      </c>
      <c r="B106" t="s">
        <v>122</v>
      </c>
      <c r="C106" t="s">
        <v>122</v>
      </c>
      <c r="D106">
        <v>0.69199999999999995</v>
      </c>
      <c r="E106" t="s">
        <v>6</v>
      </c>
      <c r="F106">
        <v>6.1599000000000004</v>
      </c>
      <c r="G106" t="s">
        <v>13</v>
      </c>
      <c r="H106">
        <v>0</v>
      </c>
    </row>
    <row r="107" spans="1:8" ht="106.15" customHeight="1" x14ac:dyDescent="0.25">
      <c r="A107" s="1" t="str">
        <f>"b2a4f"</f>
        <v>b2a4f</v>
      </c>
      <c r="B107" t="s">
        <v>123</v>
      </c>
      <c r="C107" t="s">
        <v>123</v>
      </c>
      <c r="D107">
        <v>0.69399999999999995</v>
      </c>
      <c r="E107" t="s">
        <v>6</v>
      </c>
      <c r="F107">
        <v>6.1585999999999999</v>
      </c>
      <c r="G107" t="s">
        <v>13</v>
      </c>
      <c r="H107">
        <v>0</v>
      </c>
    </row>
    <row r="108" spans="1:8" ht="106.15" customHeight="1" x14ac:dyDescent="0.25">
      <c r="A108" s="1" t="str">
        <f>"b1i4b"</f>
        <v>b1i4b</v>
      </c>
      <c r="B108" t="s">
        <v>124</v>
      </c>
      <c r="C108" t="s">
        <v>124</v>
      </c>
      <c r="D108">
        <v>0.70699999999999996</v>
      </c>
      <c r="E108" t="s">
        <v>12</v>
      </c>
      <c r="F108">
        <v>6.1505999999999998</v>
      </c>
      <c r="G108" t="s">
        <v>9</v>
      </c>
      <c r="H108">
        <v>1</v>
      </c>
    </row>
    <row r="109" spans="1:8" ht="106.15" customHeight="1" x14ac:dyDescent="0.25">
      <c r="A109" s="1" t="str">
        <f>"b1i4g"</f>
        <v>b1i4g</v>
      </c>
      <c r="B109" t="s">
        <v>125</v>
      </c>
      <c r="C109" t="s">
        <v>125</v>
      </c>
      <c r="D109">
        <v>0.752</v>
      </c>
      <c r="E109" t="s">
        <v>12</v>
      </c>
      <c r="F109">
        <v>6.1238000000000001</v>
      </c>
      <c r="G109" t="s">
        <v>13</v>
      </c>
      <c r="H109">
        <v>0</v>
      </c>
    </row>
    <row r="110" spans="1:8" ht="106.15" customHeight="1" x14ac:dyDescent="0.25">
      <c r="A110" s="1" t="str">
        <f>"b2a6e"</f>
        <v>b2a6e</v>
      </c>
      <c r="B110" t="s">
        <v>126</v>
      </c>
      <c r="C110" t="s">
        <v>126</v>
      </c>
      <c r="D110">
        <v>0.76100000000000001</v>
      </c>
      <c r="E110" t="s">
        <v>6</v>
      </c>
      <c r="F110">
        <v>6.1185999999999998</v>
      </c>
      <c r="G110" t="s">
        <v>13</v>
      </c>
      <c r="H110">
        <v>0</v>
      </c>
    </row>
    <row r="111" spans="1:8" ht="106.15" customHeight="1" x14ac:dyDescent="0.25">
      <c r="A111" s="1" t="str">
        <f>"b1i4d"</f>
        <v>b1i4d</v>
      </c>
      <c r="B111" t="s">
        <v>127</v>
      </c>
      <c r="C111" t="s">
        <v>127</v>
      </c>
      <c r="D111">
        <v>0.76300000000000001</v>
      </c>
      <c r="E111" t="s">
        <v>12</v>
      </c>
      <c r="F111">
        <v>6.1174999999999997</v>
      </c>
      <c r="G111" t="s">
        <v>13</v>
      </c>
      <c r="H111">
        <v>0</v>
      </c>
    </row>
    <row r="112" spans="1:8" ht="106.15" customHeight="1" x14ac:dyDescent="0.25">
      <c r="A112" s="1" t="str">
        <f>"b1i2g"</f>
        <v>b1i2g</v>
      </c>
      <c r="B112" t="s">
        <v>128</v>
      </c>
      <c r="C112" t="s">
        <v>128</v>
      </c>
      <c r="D112">
        <v>0.77300000000000002</v>
      </c>
      <c r="E112" t="s">
        <v>12</v>
      </c>
      <c r="F112">
        <v>6.1117999999999997</v>
      </c>
      <c r="G112" t="s">
        <v>13</v>
      </c>
      <c r="H112">
        <v>0</v>
      </c>
    </row>
    <row r="113" spans="1:8" ht="106.15" customHeight="1" x14ac:dyDescent="0.25">
      <c r="A113" s="1" t="str">
        <f>"b3a5a"</f>
        <v>b3a5a</v>
      </c>
      <c r="B113" t="s">
        <v>129</v>
      </c>
      <c r="C113" t="s">
        <v>129</v>
      </c>
      <c r="D113">
        <v>0.84699999999999998</v>
      </c>
      <c r="E113" t="s">
        <v>22</v>
      </c>
      <c r="F113">
        <v>6.0720999999999998</v>
      </c>
      <c r="G113" t="s">
        <v>13</v>
      </c>
      <c r="H113">
        <v>0</v>
      </c>
    </row>
    <row r="114" spans="1:8" ht="106.15" customHeight="1" x14ac:dyDescent="0.25">
      <c r="A114" s="1" t="str">
        <f>"b2a7a"</f>
        <v>b2a7a</v>
      </c>
      <c r="B114" t="s">
        <v>130</v>
      </c>
      <c r="C114" t="s">
        <v>130</v>
      </c>
      <c r="D114">
        <v>0.85</v>
      </c>
      <c r="E114" t="s">
        <v>6</v>
      </c>
      <c r="F114">
        <v>6.0705999999999998</v>
      </c>
      <c r="G114" t="s">
        <v>13</v>
      </c>
      <c r="H114">
        <v>0</v>
      </c>
    </row>
    <row r="115" spans="1:8" ht="106.15" customHeight="1" x14ac:dyDescent="0.25">
      <c r="A115" s="1" t="str">
        <f>"b2a3o"</f>
        <v>b2a3o</v>
      </c>
      <c r="B115" t="s">
        <v>131</v>
      </c>
      <c r="C115" t="s">
        <v>131</v>
      </c>
      <c r="D115">
        <v>0.93899999999999995</v>
      </c>
      <c r="E115" t="s">
        <v>6</v>
      </c>
      <c r="F115">
        <v>6.0273000000000003</v>
      </c>
      <c r="G115" t="s">
        <v>13</v>
      </c>
      <c r="H115">
        <v>0</v>
      </c>
    </row>
    <row r="116" spans="1:8" ht="106.15" customHeight="1" x14ac:dyDescent="0.25">
      <c r="A116" s="1" t="str">
        <f>"b2a3p"</f>
        <v>b2a3p</v>
      </c>
      <c r="B116" t="s">
        <v>132</v>
      </c>
      <c r="C116" t="s">
        <v>132</v>
      </c>
      <c r="D116">
        <v>1</v>
      </c>
      <c r="E116" t="s">
        <v>6</v>
      </c>
      <c r="F116">
        <v>6</v>
      </c>
      <c r="G116" t="s">
        <v>13</v>
      </c>
      <c r="H116">
        <v>0</v>
      </c>
    </row>
    <row r="117" spans="1:8" ht="106.15" customHeight="1" x14ac:dyDescent="0.25">
      <c r="A117" s="1" t="str">
        <f>"b3a7g"</f>
        <v>b3a7g</v>
      </c>
      <c r="B117" t="s">
        <v>133</v>
      </c>
      <c r="C117" t="s">
        <v>133</v>
      </c>
      <c r="D117">
        <v>1.1000000000000001</v>
      </c>
      <c r="E117" t="s">
        <v>22</v>
      </c>
      <c r="F117">
        <v>5.9585999999999997</v>
      </c>
      <c r="G117" t="s">
        <v>13</v>
      </c>
      <c r="H117">
        <v>0</v>
      </c>
    </row>
    <row r="118" spans="1:8" ht="106.15" customHeight="1" x14ac:dyDescent="0.25">
      <c r="A118" s="1" t="str">
        <f>"b2a4i"</f>
        <v>b2a4i</v>
      </c>
      <c r="B118" t="s">
        <v>134</v>
      </c>
      <c r="C118" t="s">
        <v>134</v>
      </c>
      <c r="D118">
        <v>1.18</v>
      </c>
      <c r="E118" t="s">
        <v>6</v>
      </c>
      <c r="F118">
        <v>5.9280999999999997</v>
      </c>
      <c r="G118" t="s">
        <v>13</v>
      </c>
      <c r="H118">
        <v>0</v>
      </c>
    </row>
    <row r="119" spans="1:8" ht="106.15" customHeight="1" x14ac:dyDescent="0.25">
      <c r="A119" s="1" t="str">
        <f>"b3a4f"</f>
        <v>b3a4f</v>
      </c>
      <c r="B119" t="s">
        <v>135</v>
      </c>
      <c r="C119" t="s">
        <v>135</v>
      </c>
      <c r="D119">
        <v>1.23</v>
      </c>
      <c r="E119" t="s">
        <v>22</v>
      </c>
      <c r="F119">
        <v>5.9100999999999999</v>
      </c>
      <c r="G119" t="s">
        <v>13</v>
      </c>
      <c r="H119">
        <v>0</v>
      </c>
    </row>
    <row r="120" spans="1:8" ht="105.6" customHeight="1" x14ac:dyDescent="0.25">
      <c r="A120" s="1" t="str">
        <f>"b1i5b"</f>
        <v>b1i5b</v>
      </c>
      <c r="B120" t="s">
        <v>136</v>
      </c>
      <c r="C120" t="s">
        <v>136</v>
      </c>
      <c r="D120">
        <v>1.35</v>
      </c>
      <c r="E120" t="s">
        <v>12</v>
      </c>
      <c r="F120">
        <v>5.8696999999999999</v>
      </c>
      <c r="G120" t="s">
        <v>9</v>
      </c>
      <c r="H120">
        <v>1</v>
      </c>
    </row>
    <row r="121" spans="1:8" ht="106.15" customHeight="1" x14ac:dyDescent="0.25">
      <c r="A121" s="1" t="str">
        <f>"b2a3r"</f>
        <v>b2a3r</v>
      </c>
      <c r="B121" t="s">
        <v>137</v>
      </c>
      <c r="C121" t="s">
        <v>137</v>
      </c>
      <c r="D121">
        <v>1.46</v>
      </c>
      <c r="E121" t="s">
        <v>6</v>
      </c>
      <c r="F121">
        <v>5.8356000000000003</v>
      </c>
      <c r="G121" t="s">
        <v>13</v>
      </c>
      <c r="H121">
        <v>0</v>
      </c>
    </row>
    <row r="122" spans="1:8" ht="106.15" customHeight="1" x14ac:dyDescent="0.25">
      <c r="A122" s="1" t="str">
        <f>"b1i3d"</f>
        <v>b1i3d</v>
      </c>
      <c r="B122" t="s">
        <v>138</v>
      </c>
      <c r="C122" t="s">
        <v>138</v>
      </c>
      <c r="D122">
        <v>1.6</v>
      </c>
      <c r="E122" t="s">
        <v>12</v>
      </c>
      <c r="F122">
        <v>5.7958999999999996</v>
      </c>
      <c r="G122" t="s">
        <v>13</v>
      </c>
      <c r="H122">
        <v>0</v>
      </c>
    </row>
    <row r="123" spans="1:8" ht="105.6" customHeight="1" x14ac:dyDescent="0.25">
      <c r="A123" s="1" t="str">
        <f>"b2a5i"</f>
        <v>b2a5i</v>
      </c>
      <c r="B123" t="s">
        <v>139</v>
      </c>
      <c r="C123" t="s">
        <v>139</v>
      </c>
      <c r="D123">
        <v>1.6</v>
      </c>
      <c r="E123" t="s">
        <v>6</v>
      </c>
      <c r="F123">
        <v>5.7958999999999996</v>
      </c>
      <c r="G123" t="s">
        <v>13</v>
      </c>
      <c r="H123">
        <v>0</v>
      </c>
    </row>
    <row r="124" spans="1:8" ht="106.15" customHeight="1" x14ac:dyDescent="0.25">
      <c r="A124" s="1" t="str">
        <f>"b3a3a"</f>
        <v>b3a3a</v>
      </c>
      <c r="B124" t="s">
        <v>140</v>
      </c>
      <c r="C124" t="s">
        <v>140</v>
      </c>
      <c r="D124">
        <v>1.83</v>
      </c>
      <c r="E124" t="s">
        <v>22</v>
      </c>
      <c r="F124">
        <v>5.7374999999999998</v>
      </c>
      <c r="G124" t="s">
        <v>13</v>
      </c>
      <c r="H124">
        <v>0</v>
      </c>
    </row>
    <row r="125" spans="1:8" ht="106.15" customHeight="1" x14ac:dyDescent="0.25">
      <c r="A125" s="1" t="str">
        <f>"b3a4h"</f>
        <v>b3a4h</v>
      </c>
      <c r="B125" t="s">
        <v>141</v>
      </c>
      <c r="C125" t="s">
        <v>141</v>
      </c>
      <c r="D125">
        <v>1.85</v>
      </c>
      <c r="E125" t="s">
        <v>22</v>
      </c>
      <c r="F125">
        <v>5.7328000000000001</v>
      </c>
      <c r="G125" t="s">
        <v>9</v>
      </c>
      <c r="H125">
        <v>1</v>
      </c>
    </row>
    <row r="126" spans="1:8" ht="106.15" customHeight="1" x14ac:dyDescent="0.25">
      <c r="A126" s="1" t="str">
        <f>"b2a4j"</f>
        <v>b2a4j</v>
      </c>
      <c r="B126" t="s">
        <v>142</v>
      </c>
      <c r="C126" t="s">
        <v>142</v>
      </c>
      <c r="D126">
        <v>2.71</v>
      </c>
      <c r="E126" t="s">
        <v>6</v>
      </c>
      <c r="F126">
        <v>5.5670000000000002</v>
      </c>
      <c r="G126" t="s">
        <v>9</v>
      </c>
      <c r="H126">
        <v>1</v>
      </c>
    </row>
    <row r="127" spans="1:8" ht="106.15" customHeight="1" x14ac:dyDescent="0.25">
      <c r="A127" s="1" t="str">
        <f>"b1i2b"</f>
        <v>b1i2b</v>
      </c>
      <c r="B127" t="s">
        <v>143</v>
      </c>
      <c r="C127" t="s">
        <v>143</v>
      </c>
      <c r="D127">
        <v>3.16</v>
      </c>
      <c r="E127" t="s">
        <v>12</v>
      </c>
      <c r="F127">
        <v>5.5003000000000002</v>
      </c>
      <c r="G127" t="s">
        <v>13</v>
      </c>
      <c r="H127">
        <v>0</v>
      </c>
    </row>
    <row r="128" spans="1:8" ht="106.15" customHeight="1" x14ac:dyDescent="0.25">
      <c r="A128" s="1" t="str">
        <f>"b3a7f"</f>
        <v>b3a7f</v>
      </c>
      <c r="B128" t="s">
        <v>144</v>
      </c>
      <c r="C128" t="s">
        <v>144</v>
      </c>
      <c r="D128">
        <v>3.26</v>
      </c>
      <c r="E128" t="s">
        <v>22</v>
      </c>
      <c r="F128">
        <v>5.4867999999999997</v>
      </c>
      <c r="G128" t="s">
        <v>9</v>
      </c>
      <c r="H128">
        <v>1</v>
      </c>
    </row>
    <row r="129" spans="1:8" ht="106.15" customHeight="1" x14ac:dyDescent="0.25">
      <c r="A129" s="1" t="str">
        <f>"b3a5e"</f>
        <v>b3a5e</v>
      </c>
      <c r="B129" t="s">
        <v>145</v>
      </c>
      <c r="C129" t="s">
        <v>145</v>
      </c>
      <c r="D129">
        <v>3.4</v>
      </c>
      <c r="E129" t="s">
        <v>22</v>
      </c>
      <c r="F129">
        <v>5.4684999999999997</v>
      </c>
      <c r="G129" t="s">
        <v>13</v>
      </c>
      <c r="H129">
        <v>0</v>
      </c>
    </row>
    <row r="130" spans="1:8" ht="106.15" customHeight="1" x14ac:dyDescent="0.25">
      <c r="A130" s="1" t="str">
        <f>"b1i3e"</f>
        <v>b1i3e</v>
      </c>
      <c r="B130" t="s">
        <v>146</v>
      </c>
      <c r="C130" t="s">
        <v>146</v>
      </c>
      <c r="D130">
        <v>3.41</v>
      </c>
      <c r="E130" t="s">
        <v>12</v>
      </c>
      <c r="F130">
        <v>5.4672000000000001</v>
      </c>
      <c r="G130" t="s">
        <v>13</v>
      </c>
      <c r="H130">
        <v>0</v>
      </c>
    </row>
    <row r="131" spans="1:8" ht="106.15" customHeight="1" x14ac:dyDescent="0.25">
      <c r="A131" s="1" t="str">
        <f>"b1i1"</f>
        <v>b1i1</v>
      </c>
      <c r="B131" t="s">
        <v>147</v>
      </c>
      <c r="C131" t="s">
        <v>147</v>
      </c>
      <c r="D131">
        <v>3.8</v>
      </c>
      <c r="E131" t="s">
        <v>12</v>
      </c>
      <c r="F131">
        <v>5.4202000000000004</v>
      </c>
      <c r="G131" t="s">
        <v>13</v>
      </c>
      <c r="H131">
        <v>0</v>
      </c>
    </row>
    <row r="132" spans="1:8" ht="106.15" customHeight="1" x14ac:dyDescent="0.25">
      <c r="A132" s="1" t="str">
        <f>"b3a7e"</f>
        <v>b3a7e</v>
      </c>
      <c r="B132" t="s">
        <v>148</v>
      </c>
      <c r="C132" t="s">
        <v>148</v>
      </c>
      <c r="D132">
        <v>4.09</v>
      </c>
      <c r="E132" t="s">
        <v>22</v>
      </c>
      <c r="F132">
        <v>5.3883000000000001</v>
      </c>
      <c r="G132" t="s">
        <v>13</v>
      </c>
      <c r="H132">
        <v>0</v>
      </c>
    </row>
    <row r="133" spans="1:8" ht="106.15" customHeight="1" x14ac:dyDescent="0.25">
      <c r="A133" s="1" t="str">
        <f>"b1i3c"</f>
        <v>b1i3c</v>
      </c>
      <c r="B133" t="s">
        <v>149</v>
      </c>
      <c r="C133" t="s">
        <v>149</v>
      </c>
      <c r="D133">
        <v>4.5</v>
      </c>
      <c r="E133" t="s">
        <v>12</v>
      </c>
      <c r="F133">
        <v>5.3468</v>
      </c>
      <c r="G133" t="s">
        <v>13</v>
      </c>
      <c r="H133">
        <v>0</v>
      </c>
    </row>
    <row r="134" spans="1:8" ht="106.15" customHeight="1" x14ac:dyDescent="0.25">
      <c r="A134" s="1" t="str">
        <f>"b3a4c"</f>
        <v>b3a4c</v>
      </c>
      <c r="B134" t="s">
        <v>150</v>
      </c>
      <c r="C134" t="s">
        <v>150</v>
      </c>
      <c r="D134">
        <v>4.67</v>
      </c>
      <c r="E134" t="s">
        <v>22</v>
      </c>
      <c r="F134">
        <v>5.3307000000000002</v>
      </c>
      <c r="G134" t="s">
        <v>13</v>
      </c>
      <c r="H134">
        <v>0</v>
      </c>
    </row>
    <row r="135" spans="1:8" ht="106.15" customHeight="1" x14ac:dyDescent="0.25">
      <c r="A135" s="1" t="str">
        <f>"b1i4a"</f>
        <v>b1i4a</v>
      </c>
      <c r="B135" t="s">
        <v>151</v>
      </c>
      <c r="C135" t="s">
        <v>151</v>
      </c>
      <c r="D135">
        <v>4.97</v>
      </c>
      <c r="E135" t="s">
        <v>12</v>
      </c>
      <c r="F135">
        <v>5.3036000000000003</v>
      </c>
      <c r="G135" t="s">
        <v>13</v>
      </c>
      <c r="H135">
        <v>0</v>
      </c>
    </row>
    <row r="136" spans="1:8" ht="106.15" customHeight="1" x14ac:dyDescent="0.25">
      <c r="A136" s="1" t="str">
        <f>"b2a5b"</f>
        <v>b2a5b</v>
      </c>
      <c r="B136" t="s">
        <v>152</v>
      </c>
      <c r="C136" t="s">
        <v>152</v>
      </c>
      <c r="D136">
        <v>5</v>
      </c>
      <c r="E136" t="s">
        <v>6</v>
      </c>
      <c r="F136">
        <v>5.3010000000000002</v>
      </c>
      <c r="G136" t="s">
        <v>13</v>
      </c>
      <c r="H136">
        <v>0</v>
      </c>
    </row>
    <row r="137" spans="1:8" ht="106.15" customHeight="1" x14ac:dyDescent="0.25">
      <c r="A137" s="1" t="str">
        <f>"b3a3c"</f>
        <v>b3a3c</v>
      </c>
      <c r="B137" t="s">
        <v>153</v>
      </c>
      <c r="C137" t="s">
        <v>153</v>
      </c>
      <c r="D137">
        <v>5.0599999999999996</v>
      </c>
      <c r="E137" t="s">
        <v>22</v>
      </c>
      <c r="F137">
        <v>5.2957999999999998</v>
      </c>
      <c r="G137" t="s">
        <v>13</v>
      </c>
      <c r="H137">
        <v>0</v>
      </c>
    </row>
    <row r="138" spans="1:8" ht="106.15" customHeight="1" x14ac:dyDescent="0.25">
      <c r="A138" s="1" t="str">
        <f>"b3a3h"</f>
        <v>b3a3h</v>
      </c>
      <c r="B138" t="s">
        <v>154</v>
      </c>
      <c r="C138" t="s">
        <v>154</v>
      </c>
      <c r="D138">
        <v>6.41</v>
      </c>
      <c r="E138" t="s">
        <v>22</v>
      </c>
      <c r="F138">
        <v>5.1931000000000003</v>
      </c>
      <c r="G138" t="s">
        <v>13</v>
      </c>
      <c r="H138">
        <v>0</v>
      </c>
    </row>
    <row r="139" spans="1:8" ht="106.15" customHeight="1" x14ac:dyDescent="0.25">
      <c r="A139" s="1" t="str">
        <f>"b1i3a"</f>
        <v>b1i3a</v>
      </c>
      <c r="B139" t="s">
        <v>155</v>
      </c>
      <c r="C139" t="s">
        <v>155</v>
      </c>
      <c r="D139">
        <v>6.46</v>
      </c>
      <c r="E139" t="s">
        <v>12</v>
      </c>
      <c r="F139">
        <v>5.1898</v>
      </c>
      <c r="G139" t="s">
        <v>13</v>
      </c>
      <c r="H139">
        <v>0</v>
      </c>
    </row>
    <row r="140" spans="1:8" ht="105.6" customHeight="1" x14ac:dyDescent="0.25">
      <c r="A140" s="1" t="str">
        <f>"b2a5a"</f>
        <v>b2a5a</v>
      </c>
      <c r="B140" t="s">
        <v>156</v>
      </c>
      <c r="C140" t="s">
        <v>156</v>
      </c>
      <c r="D140">
        <v>6.63</v>
      </c>
      <c r="E140" t="s">
        <v>6</v>
      </c>
      <c r="F140">
        <v>5.1784999999999997</v>
      </c>
      <c r="G140" t="s">
        <v>13</v>
      </c>
      <c r="H140">
        <v>0</v>
      </c>
    </row>
    <row r="141" spans="1:8" ht="106.15" customHeight="1" x14ac:dyDescent="0.25">
      <c r="A141" s="1" t="str">
        <f>"b1i3b"</f>
        <v>b1i3b</v>
      </c>
      <c r="B141" t="s">
        <v>157</v>
      </c>
      <c r="C141" t="s">
        <v>157</v>
      </c>
      <c r="D141">
        <v>7.3</v>
      </c>
      <c r="E141" t="s">
        <v>12</v>
      </c>
      <c r="F141">
        <v>5.1367000000000003</v>
      </c>
      <c r="G141" t="s">
        <v>9</v>
      </c>
      <c r="H141">
        <v>1</v>
      </c>
    </row>
    <row r="142" spans="1:8" ht="106.15" customHeight="1" x14ac:dyDescent="0.25">
      <c r="A142" s="1" t="str">
        <f>"b1i2c"</f>
        <v>b1i2c</v>
      </c>
      <c r="B142" t="s">
        <v>158</v>
      </c>
      <c r="C142" t="s">
        <v>158</v>
      </c>
      <c r="D142">
        <v>9</v>
      </c>
      <c r="E142" t="s">
        <v>12</v>
      </c>
      <c r="F142">
        <v>5.0457999999999998</v>
      </c>
      <c r="G142" t="s">
        <v>13</v>
      </c>
      <c r="H142">
        <v>0</v>
      </c>
    </row>
    <row r="143" spans="1:8" ht="106.15" customHeight="1" x14ac:dyDescent="0.25">
      <c r="A143" s="1" t="str">
        <f>"b1i4h"</f>
        <v>b1i4h</v>
      </c>
      <c r="B143" t="s">
        <v>159</v>
      </c>
      <c r="C143" t="s">
        <v>159</v>
      </c>
      <c r="D143">
        <v>9.35</v>
      </c>
      <c r="E143" t="s">
        <v>12</v>
      </c>
      <c r="F143">
        <v>5.0292000000000003</v>
      </c>
      <c r="G143" t="s">
        <v>13</v>
      </c>
      <c r="H143">
        <v>0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Matter, Hans /DE</dc:creator>
  <cp:lastModifiedBy>Matter, Hans /DE</cp:lastModifiedBy>
  <dcterms:created xsi:type="dcterms:W3CDTF">2021-06-28T12:34:23Z</dcterms:created>
  <dcterms:modified xsi:type="dcterms:W3CDTF">2021-06-28T12:41:15Z</dcterms:modified>
</cp:coreProperties>
</file>